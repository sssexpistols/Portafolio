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d0064f47ff41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9886ef7c88445f4"/>
    <x:sheet xmlns:r="http://schemas.openxmlformats.org/officeDocument/2006/relationships" name="Activos" sheetId="2" r:id="R3afb6c1c1edf4671"/>
    <x:sheet xmlns:r="http://schemas.openxmlformats.org/officeDocument/2006/relationships" name="Tickets" sheetId="3" r:id="Rf8d8ad14875944a5"/>
    <x:sheet xmlns:r="http://schemas.openxmlformats.org/officeDocument/2006/relationships" name="Mantenimiento" sheetId="4" r:id="R1b0c1d0a6aa7471d"/>
    <x:sheet xmlns:r="http://schemas.openxmlformats.org/officeDocument/2006/relationships" name="Catalogos" sheetId="5" r:id="Rdf1b91e9363f4de8"/>
  </x:sheets>
</x:workbook>
</file>

<file path=xl/comments1.xml><?xml version="1.0" encoding="utf-8"?>
<x:comments xmlns:x="http://schemas.openxmlformats.org/spreadsheetml/2006/main">
  <x:authors>
    <x:author>tc={BB87761B-57D2-4E06-8502-C0B857EF7E36}</x:author>
  </x:authors>
  <x:commentList>
    <x:comment ref="N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Control de unicidad del identificador mediante COUNTIF.</x:t>
        </x:r>
      </x:text>
    </x:comment>
  </x:commentList>
</x:comments>
</file>

<file path=xl/comments2.xml><?xml version="1.0" encoding="utf-8"?>
<x:comments xmlns:x="http://schemas.openxmlformats.org/spreadsheetml/2006/main">
  <x:authors>
    <x:author>tc={49352D06-0A4E-41A7-AF0B-3B2760020B5E}</x:author>
  </x:authors>
  <x:commentList>
    <x:comment ref="K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Resultado calculado comparando horas de solución contra el SLA visible en Catalogos.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"/>
    <x:numFmt numFmtId="202" formatCode="0.0%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9"/>
      <x:color rgb="FFFFFFFF"/>
      <x:name val="Carlito"/>
    </x:font>
    <x:font>
      <x:i/>
      <x:sz val="11"/>
      <x:color rgb="FF667085"/>
      <x:name val="Carlito"/>
    </x:font>
    <x:font>
      <x:sz val="9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22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36B8E"/>
      </x:patternFill>
    </x:fill>
    <x:fill>
      <x:patternFill patternType="solid">
        <x:fgColor rgb="FFF2F4F7"/>
      </x:patternFill>
    </x:fill>
    <x:fill>
      <x:patternFill patternType="solid">
        <x:fgColor rgb="FFDCEEF5"/>
      </x:patternFill>
    </x:fill>
  </x:fills>
  <x:borders count="27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DE3E8"/>
      </x:right>
      <x:bottom style="thin">
        <x:color rgb="FFDDE3E8"/>
      </x:bottom>
    </x:border>
    <x:border>
      <x:left style="thin">
        <x:color rgb="FFDDE3E8"/>
      </x:left>
      <x:right style="thin">
        <x:color rgb="FFDDE3E8"/>
      </x:right>
      <x:bottom style="thin">
        <x:color rgb="FFDDE3E8"/>
      </x:bottom>
    </x:border>
    <x:border>
      <x:left style="thin">
        <x:color rgb="FFDDE3E8"/>
      </x:left>
      <x:bottom style="thin">
        <x:color rgb="FFDDE3E8"/>
      </x:bottom>
    </x:border>
    <x:border>
      <x:right style="thin">
        <x:color rgb="FFDDE3E8"/>
      </x:right>
      <x:top style="thin">
        <x:color rgb="FFDDE3E8"/>
      </x:top>
      <x:bottom style="thin">
        <x:color rgb="FFDDE3E8"/>
      </x:bottom>
    </x:border>
    <x:border>
      <x:left style="thin">
        <x:color rgb="FFDDE3E8"/>
      </x:left>
      <x:right style="thin">
        <x:color rgb="FFDDE3E8"/>
      </x:right>
      <x:top style="thin">
        <x:color rgb="FFDDE3E8"/>
      </x:top>
      <x:bottom style="thin">
        <x:color rgb="FFDDE3E8"/>
      </x:bottom>
    </x:border>
    <x:border>
      <x:left style="thin">
        <x:color rgb="FFDDE3E8"/>
      </x:left>
      <x:top style="thin">
        <x:color rgb="FFDDE3E8"/>
      </x:top>
      <x:bottom style="thin">
        <x:color rgb="FFDDE3E8"/>
      </x:bottom>
    </x:border>
    <x:border>
      <x:right style="thin">
        <x:color rgb="FFDDE3E8"/>
      </x:right>
      <x:top style="thin">
        <x:color rgb="FFDDE3E8"/>
      </x:top>
    </x:border>
    <x:border>
      <x:left style="thin">
        <x:color rgb="FFDDE3E8"/>
      </x:left>
      <x:right style="thin">
        <x:color rgb="FFDDE3E8"/>
      </x:right>
      <x:top style="thin">
        <x:color rgb="FFDDE3E8"/>
      </x:top>
    </x:border>
    <x:border>
      <x:left style="thin">
        <x:color rgb="FFDDE3E8"/>
      </x:left>
      <x:top style="thin">
        <x:color rgb="FFDDE3E8"/>
      </x:top>
    </x:border>
    <x:border>
      <x:left style="thin">
        <x:color rgb="FFAAB7C4"/>
      </x:left>
      <x:top style="thin">
        <x:color rgb="FFAAB7C4"/>
      </x:top>
    </x:border>
    <x:border>
      <x:top style="thin">
        <x:color rgb="FFAAB7C4"/>
      </x:top>
    </x:border>
    <x:border>
      <x:right style="thin">
        <x:color rgb="FFAAB7C4"/>
      </x:right>
      <x:top style="thin">
        <x:color rgb="FFAAB7C4"/>
      </x:top>
    </x:border>
    <x:border>
      <x:left style="thin">
        <x:color rgb="FFAAB7C4"/>
      </x:left>
      <x:bottom style="thin">
        <x:color rgb="FFAAB7C4"/>
      </x:bottom>
    </x:border>
    <x:border>
      <x:bottom style="thin">
        <x:color rgb="FFAAB7C4"/>
      </x:bottom>
    </x:border>
    <x:border>
      <x:right style="thin">
        <x:color rgb="FFAAB7C4"/>
      </x:right>
      <x:bottom style="thin">
        <x:color rgb="FFAAB7C4"/>
      </x:bottom>
    </x:border>
    <x:border>
      <x:left style="thin">
        <x:color rgb="FFAAB7C4"/>
      </x:left>
    </x:border>
    <x:border>
      <x:right style="thin">
        <x:color rgb="FFAAB7C4"/>
      </x:right>
    </x:border>
  </x:borders>
  <x:cellStyleXfs count="1">
    <x:xf numFmtId="0" fontId="0" fillId="0" borderId="0"/>
  </x:cellStyleXfs>
  <x:cellXfs count="9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0" xfId="0" applyNumberFormat="1" applyFont="1" applyFill="1" applyBorder="1" applyAlignment="1">
      <x:alignment vertical="center" wrapText="1"/>
    </x:xf>
    <x:xf numFmtId="0" fontId="2" fillId="3" borderId="11" xfId="0" applyNumberFormat="1" applyFont="1" applyFill="1" applyBorder="1" applyAlignment="1">
      <x:alignment vertical="center" wrapText="1"/>
    </x:xf>
    <x:xf numFmtId="0" fontId="2" fillId="3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20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200" fontId="4" fillId="0" borderId="17" xfId="0" applyNumberFormat="1" applyFont="1" applyFill="1" applyBorder="1"/>
    <x:xf numFmtId="0" fontId="4" fillId="0" borderId="18" xfId="0" applyNumberFormat="1" applyFont="1" applyFill="1" applyBorder="1"/>
    <x:xf numFmtId="201" fontId="0" fillId="0" borderId="0" xfId="0" applyNumberFormat="1" applyFont="1" applyFill="1" applyBorder="1"/>
    <x:xf numFmtId="201" fontId="0" fillId="0" borderId="14" xfId="0" applyNumberFormat="1" applyFont="1" applyFill="1" applyBorder="1"/>
    <x:xf numFmtId="201" fontId="0" fillId="0" borderId="17" xfId="0" applyNumberFormat="1" applyFont="1" applyFill="1" applyBorder="1"/>
    <x:xf numFmtId="201" fontId="4" fillId="0" borderId="14" xfId="0" applyNumberFormat="1" applyFont="1" applyFill="1" applyBorder="1"/>
    <x:xf numFmtId="201" fontId="4" fillId="0" borderId="17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7" fillId="0" borderId="19" xfId="0" applyNumberFormat="1" applyFont="1" applyFill="1" applyBorder="1"/>
    <x:xf numFmtId="0" fontId="7" fillId="0" borderId="20" xfId="0" applyNumberFormat="1" applyFont="1" applyFill="1" applyBorder="1"/>
    <x:xf numFmtId="0" fontId="7" fillId="0" borderId="21" xfId="0" applyNumberFormat="1" applyFont="1" applyFill="1" applyBorder="1"/>
    <x:xf numFmtId="0" fontId="7" fillId="0" borderId="22" xfId="0" applyNumberFormat="1" applyFont="1" applyFill="1" applyBorder="1"/>
    <x:xf numFmtId="0" fontId="7" fillId="0" borderId="23" xfId="0" applyNumberFormat="1" applyFont="1" applyFill="1" applyBorder="1"/>
    <x:xf numFmtId="0" fontId="7" fillId="0" borderId="24" xfId="0" applyNumberFormat="1" applyFont="1" applyFill="1" applyBorder="1"/>
    <x:xf numFmtId="0" fontId="7" fillId="0" borderId="19" xfId="0" applyNumberFormat="1" applyFont="1" applyFill="1" applyBorder="1" applyAlignment="1">
      <x:alignment horizontal="center"/>
    </x:xf>
    <x:xf numFmtId="0" fontId="7" fillId="0" borderId="20" xfId="0" applyNumberFormat="1" applyFont="1" applyFill="1" applyBorder="1" applyAlignment="1">
      <x:alignment horizontal="center"/>
    </x:xf>
    <x:xf numFmtId="0" fontId="7" fillId="0" borderId="21" xfId="0" applyNumberFormat="1" applyFont="1" applyFill="1" applyBorder="1" applyAlignment="1">
      <x:alignment horizontal="center"/>
    </x:xf>
    <x:xf numFmtId="0" fontId="7" fillId="0" borderId="22" xfId="0" applyNumberFormat="1" applyFont="1" applyFill="1" applyBorder="1" applyAlignment="1">
      <x:alignment horizontal="center"/>
    </x:xf>
    <x:xf numFmtId="0" fontId="7" fillId="0" borderId="23" xfId="0" applyNumberFormat="1" applyFont="1" applyFill="1" applyBorder="1" applyAlignment="1">
      <x:alignment horizontal="center"/>
    </x:xf>
    <x:xf numFmtId="0" fontId="7" fillId="0" borderId="24" xfId="0" applyNumberFormat="1" applyFont="1" applyFill="1" applyBorder="1" applyAlignment="1">
      <x:alignment horizontal="center"/>
    </x:xf>
    <x:xf numFmtId="0" fontId="7" fillId="0" borderId="19" xfId="0" applyNumberFormat="1" applyFont="1" applyFill="1" applyBorder="1" applyAlignment="1">
      <x:alignment horizontal="center" vertical="center"/>
    </x:xf>
    <x:xf numFmtId="0" fontId="7" fillId="0" borderId="20" xfId="0" applyNumberFormat="1" applyFont="1" applyFill="1" applyBorder="1" applyAlignment="1">
      <x:alignment horizontal="center" vertical="center"/>
    </x:xf>
    <x:xf numFmtId="0" fontId="7" fillId="0" borderId="21" xfId="0" applyNumberFormat="1" applyFont="1" applyFill="1" applyBorder="1" applyAlignment="1">
      <x:alignment horizontal="center" vertical="center"/>
    </x:xf>
    <x:xf numFmtId="0" fontId="7" fillId="0" borderId="22" xfId="0" applyNumberFormat="1" applyFont="1" applyFill="1" applyBorder="1" applyAlignment="1">
      <x:alignment horizontal="center" vertical="center"/>
    </x:xf>
    <x:xf numFmtId="0" fontId="7" fillId="0" borderId="23" xfId="0" applyNumberFormat="1" applyFont="1" applyFill="1" applyBorder="1" applyAlignment="1">
      <x:alignment horizontal="center" vertical="center"/>
    </x:xf>
    <x:xf numFmtId="0" fontId="7" fillId="0" borderId="24" xfId="0" applyNumberFormat="1" applyFont="1" applyFill="1" applyBorder="1" applyAlignment="1">
      <x:alignment horizontal="center" vertical="center"/>
    </x:xf>
    <x:xf numFmtId="202" fontId="7" fillId="0" borderId="20" xfId="0" applyNumberFormat="1" applyFont="1" applyFill="1" applyBorder="1" applyAlignment="1">
      <x:alignment horizontal="center" vertical="center"/>
    </x:xf>
    <x:xf numFmtId="202" fontId="7" fillId="0" borderId="23" xfId="0" applyNumberFormat="1" applyFont="1" applyFill="1" applyBorder="1" applyAlignment="1">
      <x:alignment horizontal="center" vertical="center"/>
    </x:xf>
    <x:xf numFmtId="0" fontId="5" fillId="5" borderId="19" xfId="0" applyNumberFormat="1" applyFont="1" applyFill="1" applyBorder="1"/>
    <x:xf numFmtId="0" fontId="5" fillId="5" borderId="20" xfId="0" applyNumberFormat="1" applyFont="1" applyFill="1" applyBorder="1"/>
    <x:xf numFmtId="0" fontId="5" fillId="5" borderId="21" xfId="0" applyNumberFormat="1" applyFont="1" applyFill="1" applyBorder="1"/>
    <x:xf numFmtId="0" fontId="5" fillId="5" borderId="25" xfId="0" applyNumberFormat="1" applyFont="1" applyFill="1" applyBorder="1"/>
    <x:xf numFmtId="0" fontId="5" fillId="5" borderId="26" xfId="0" applyNumberFormat="1" applyFont="1" applyFill="1" applyBorder="1"/>
    <x:xf numFmtId="0" fontId="5" fillId="5" borderId="22" xfId="0" applyNumberFormat="1" applyFont="1" applyFill="1" applyBorder="1"/>
    <x:xf numFmtId="0" fontId="5" fillId="5" borderId="23" xfId="0" applyNumberFormat="1" applyFont="1" applyFill="1" applyBorder="1"/>
    <x:xf numFmtId="0" fontId="5" fillId="5" borderId="24" xfId="0" applyNumberFormat="1" applyFont="1" applyFill="1" applyBorder="1"/>
    <x:xf numFmtId="0" fontId="5" fillId="5" borderId="19" xfId="0" applyNumberFormat="1" applyFont="1" applyFill="1" applyBorder="1" applyAlignment="1">
      <x:alignment wrapText="1"/>
    </x:xf>
    <x:xf numFmtId="0" fontId="5" fillId="5" borderId="20" xfId="0" applyNumberFormat="1" applyFont="1" applyFill="1" applyBorder="1" applyAlignment="1">
      <x:alignment wrapText="1"/>
    </x:xf>
    <x:xf numFmtId="0" fontId="5" fillId="5" borderId="21" xfId="0" applyNumberFormat="1" applyFont="1" applyFill="1" applyBorder="1" applyAlignment="1">
      <x:alignment wrapText="1"/>
    </x:xf>
    <x:xf numFmtId="0" fontId="5" fillId="5" borderId="25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26" xfId="0" applyNumberFormat="1" applyFont="1" applyFill="1" applyBorder="1" applyAlignment="1">
      <x:alignment wrapText="1"/>
    </x:xf>
    <x:xf numFmtId="0" fontId="5" fillId="5" borderId="22" xfId="0" applyNumberFormat="1" applyFont="1" applyFill="1" applyBorder="1" applyAlignment="1">
      <x:alignment wrapText="1"/>
    </x:xf>
    <x:xf numFmtId="0" fontId="5" fillId="5" borderId="23" xfId="0" applyNumberFormat="1" applyFont="1" applyFill="1" applyBorder="1" applyAlignment="1">
      <x:alignment wrapText="1"/>
    </x:xf>
    <x:xf numFmtId="0" fontId="5" fillId="5" borderId="24" xfId="0" applyNumberFormat="1" applyFont="1" applyFill="1" applyBorder="1" applyAlignment="1">
      <x:alignment wrapText="1"/>
    </x:xf>
    <x:xf numFmtId="0" fontId="5" fillId="5" borderId="19" xfId="0" applyNumberFormat="1" applyFont="1" applyFill="1" applyBorder="1" applyAlignment="1">
      <x:alignment vertical="center" wrapText="1"/>
    </x:xf>
    <x:xf numFmtId="0" fontId="5" fillId="5" borderId="20" xfId="0" applyNumberFormat="1" applyFont="1" applyFill="1" applyBorder="1" applyAlignment="1">
      <x:alignment vertical="center" wrapText="1"/>
    </x:xf>
    <x:xf numFmtId="0" fontId="5" fillId="5" borderId="21" xfId="0" applyNumberFormat="1" applyFont="1" applyFill="1" applyBorder="1" applyAlignment="1">
      <x:alignment vertical="center" wrapText="1"/>
    </x:xf>
    <x:xf numFmtId="0" fontId="5" fillId="5" borderId="25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26" xfId="0" applyNumberFormat="1" applyFont="1" applyFill="1" applyBorder="1" applyAlignment="1">
      <x:alignment vertical="center" wrapText="1"/>
    </x:xf>
    <x:xf numFmtId="0" fontId="5" fillId="5" borderId="22" xfId="0" applyNumberFormat="1" applyFont="1" applyFill="1" applyBorder="1" applyAlignment="1">
      <x:alignment vertical="center" wrapText="1"/>
    </x:xf>
    <x:xf numFmtId="0" fontId="5" fillId="5" borderId="23" xfId="0" applyNumberFormat="1" applyFont="1" applyFill="1" applyBorder="1" applyAlignment="1">
      <x:alignment vertical="center" wrapText="1"/>
    </x:xf>
    <x:xf numFmtId="0" fontId="5" fillId="5" borderId="2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634f9805424fb9" /><Relationship Type="http://schemas.openxmlformats.org/officeDocument/2006/relationships/theme" Target="/xl/theme/theme1.xml" Id="R59c0bb2732a24347" /><Relationship Type="http://schemas.openxmlformats.org/officeDocument/2006/relationships/sharedStrings" Target="/xl/sharedStrings.xml" Id="Re1c8003b09554f11" /><Relationship Type="http://schemas.openxmlformats.org/officeDocument/2006/relationships/worksheet" Target="/xl/worksheets/sheet1.xml" Id="R59886ef7c88445f4" /><Relationship Type="http://schemas.openxmlformats.org/officeDocument/2006/relationships/worksheet" Target="/xl/worksheets/sheet2.xml" Id="R3afb6c1c1edf4671" /><Relationship Type="http://schemas.openxmlformats.org/officeDocument/2006/relationships/worksheet" Target="/xl/worksheets/sheet3.xml" Id="Rf8d8ad14875944a5" /><Relationship Type="http://schemas.openxmlformats.org/officeDocument/2006/relationships/worksheet" Target="/xl/worksheets/sheet4.xml" Id="R1b0c1d0a6aa7471d" /><Relationship Type="http://schemas.openxmlformats.org/officeDocument/2006/relationships/worksheet" Target="/xl/worksheets/sheet5.xml" Id="Rdf1b91e9363f4de8" /><Relationship Type="http://schemas.microsoft.com/office/2017/10/relationships/person" Target="/xl/persons/person.xml" Id="R638d7b6a552d4a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3f1712d34744023" /><Relationship Type="http://schemas.openxmlformats.org/officeDocument/2006/relationships/chart" Target="/xl/drawings/charts/chart2.xml" Id="Rf14db130feb5468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Tickets por categoría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Tickets</c:v>
          </c:tx>
          <c:cat>
            <c:strRef>
              <c:f>'Dashboard'!$A$10:$A$15</c:f>
              <c:strCache>
                <c:ptCount val="0"/>
              </c:strCache>
            </c:strRef>
          </c:cat>
          <c:val>
            <c:numRef>
              <c:f>'Dashboard'!$B$10:$B$15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Estado del inventario</a:t>
            </a:r>
          </a:p>
        </c:rich>
      </c:tx>
      <c:overlay val="0"/>
    </c:title>
    <c:plotArea>
      <c:doughnutChart>
        <c:ser>
          <c:idx val="0"/>
          <c:order val="0"/>
          <c:tx>
            <c:v>Cantidad</c:v>
          </c:tx>
          <c:cat>
            <c:strRef>
              <c:f>'Dashboard'!$D$10:$D$13</c:f>
              <c:strCache>
                <c:ptCount val="0"/>
              </c:strCache>
            </c:strRef>
          </c:cat>
          <c:val>
            <c:numRef>
              <c:f>'Dashboard'!$E$10:$E$13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5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f1712d34744023"/>
        </a:graphicData>
      </a:graphic>
    </xdr:graphicFrame>
    <xdr:clientData/>
  </xdr:twoCellAnchor>
  <xdr:twoCellAnchor>
    <xdr:from>
      <xdr:col>5</xdr:col>
      <xdr:colOff>0</xdr:colOff>
      <xdr:row>8</xdr:row>
      <xdr:rowOff>0</xdr:rowOff>
    </xdr:from>
    <xdr:to>
      <xdr:col>10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14db130feb5468a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Ángel Gabriel Valderrama Ramírez" id="{4DB44B55-64EC-403D-8D40-A1705DAB7862}"/>
</xltc:personList>
</file>

<file path=xl/tables/table1.xml><?xml version="1.0" encoding="utf-8"?>
<x:table xmlns:x="http://schemas.openxmlformats.org/spreadsheetml/2006/main" id="1" name="TablaActivos" displayName="TablaActivos" ref="A4:N34" headerRowCount="1" totalsRowCount="0" totalsRowShown="0">
  <x:tableColumns count="14">
    <x:tableColumn id="1" name="Activo ID"/>
    <x:tableColumn id="2" name="Tipo"/>
    <x:tableColumn id="3" name="Marca/modelo"/>
    <x:tableColumn id="4" name="Serie ficticia"/>
    <x:tableColumn id="5" name="Área"/>
    <x:tableColumn id="6" name="Usuario"/>
    <x:tableColumn id="7" name="IP"/>
    <x:tableColumn id="8" name="VLAN"/>
    <x:tableColumn id="9" name="Estado"/>
    <x:tableColumn id="10" name="Alta"/>
    <x:tableColumn id="11" name="Fin garantía"/>
    <x:tableColumn id="12" name="Garantía"/>
    <x:tableColumn id="13" name="Último respaldo"/>
    <x:tableColumn id="14" name="Control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aTickets" displayName="TablaTickets" ref="A4:M40" headerRowCount="1" totalsRowCount="0" totalsRowShown="0">
  <x:tableColumns count="13">
    <x:tableColumn id="1" name="Ticket"/>
    <x:tableColumn id="2" name="Fecha apertura"/>
    <x:tableColumn id="3" name="Usuario"/>
    <x:tableColumn id="4" name="Categoría"/>
    <x:tableColumn id="5" name="Descripción"/>
    <x:tableColumn id="6" name="Prioridad"/>
    <x:tableColumn id="7" name="Estado"/>
    <x:tableColumn id="8" name="Activo ID"/>
    <x:tableColumn id="9" name="Horas solución"/>
    <x:tableColumn id="10" name="SLA objetivo"/>
    <x:tableColumn id="11" name="Cumple SLA"/>
    <x:tableColumn id="12" name="Canal"/>
    <x:tableColumn id="13" name="Evidenci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aMantenimiento" displayName="TablaMantenimiento" ref="A3:J27" headerRowCount="1" totalsRowCount="0" totalsRowShown="0">
  <x:tableColumns count="10">
    <x:tableColumn id="1" name="Orden"/>
    <x:tableColumn id="2" name="Activo ID"/>
    <x:tableColumn id="3" name="Actividad"/>
    <x:tableColumn id="4" name="Frecuencia"/>
    <x:tableColumn id="5" name="Última ejecución"/>
    <x:tableColumn id="6" name="Próxima fecha"/>
    <x:tableColumn id="7" name="Responsable"/>
    <x:tableColumn id="8" name="Estado"/>
    <x:tableColumn id="9" name="Evidencia"/>
    <x:tableColumn id="10" name="Riesg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N4" dT="2026-09-04T02:22:27.955" personId="{4DB44B55-64EC-403D-8D40-A1705DAB7862}" id="{BB87761B-57D2-4E06-8502-C0B857EF7E36}">
    <xltc:text>Control de unicidad del identificador mediante COUNTIF.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K4" dT="2026-09-04T02:22:27.953" personId="{4DB44B55-64EC-403D-8D40-A1705DAB7862}" id="{49352D06-0A4E-41A7-AF0B-3B2760020B5E}">
    <xltc:text>Resultado calculado comparando horas de solución contra el SLA visible en Catalogos.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0dbe082b23147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521358d9139c46b7" /><Relationship Type="http://schemas.openxmlformats.org/officeDocument/2006/relationships/vmlDrawing" Target="/xl/drawings/vmldrawing.vml" Id="R35b295d8022e4481" /><Relationship Type="http://schemas.microsoft.com/office/2017/10/relationships/threadedComment" Target="/xl/threadedcomments/threadedcomment.xml" Id="R23263e8b4ace42fe" /><Relationship Type="http://schemas.openxmlformats.org/officeDocument/2006/relationships/table" Target="/xl/tables/table1.xml" Id="Ra5ecf37fbfec44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4f63af2f76284923" /><Relationship Type="http://schemas.openxmlformats.org/officeDocument/2006/relationships/vmlDrawing" Target="/xl/drawings/vmldrawing2.vml" Id="Rae46ff32a9ad47ba" /><Relationship Type="http://schemas.microsoft.com/office/2017/10/relationships/threadedComment" Target="/xl/threadedcomments/threadedcomment2.xml" Id="Rf5f3cf2c3b6d4ded" /><Relationship Type="http://schemas.openxmlformats.org/officeDocument/2006/relationships/table" Target="/xl/tables/table2.xml" Id="R96ea5c525ad04c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21d46fcce5d46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4" customHeight="1">
      <x:c r="A1" s="3" t="str">
        <x:v>TABLERO DE OPERACIÓN TI - ERP / HELPDESK SIMULADO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45" t="str">
        <x:v>Portafolio de Ángel Gabriel Valderrama Ramírez | Soporte, activos, infraestructura y control administrativo</x:v>
      </x:c>
      <x:c r="B2" s="45"/>
      <x:c r="C2" s="45"/>
      <x:c r="D2" s="45"/>
      <x:c r="E2" s="45"/>
      <x:c r="F2" s="45"/>
      <x:c r="G2" s="45"/>
      <x:c r="H2" s="45"/>
      <x:c r="I2" s="45"/>
      <x:c r="J2" s="45"/>
    </x:row>
    <x:row r="4">
      <x:c r="A4" s="47" t="str">
        <x:v>ACTIVOS</x:v>
      </x:c>
      <x:c r="B4" s="47"/>
      <x:c r="D4" s="47" t="str">
        <x:v>TICKETS</x:v>
      </x:c>
      <x:c r="E4" s="47"/>
      <x:c r="G4" s="47" t="str">
        <x:v>CUMPLIMIENTO SLA</x:v>
      </x:c>
      <x:c r="H4" s="47"/>
      <x:c r="I4" s="47" t="str">
        <x:v>MANT. VENCIDO</x:v>
      </x:c>
      <x:c r="J4" s="47"/>
    </x:row>
    <x:row r="5">
      <x:c r="A5" s="61" t="n">
        <x:f>COUNTA('Activos'!$A$5:$A$34)</x:f>
        <x:v>30</x:v>
      </x:c>
      <x:c r="B5" s="62"/>
      <x:c r="C5" s="62"/>
      <x:c r="D5" s="62" t="n">
        <x:f>COUNTA('Tickets'!$A$5:$A$40)</x:f>
        <x:v>36</x:v>
      </x:c>
      <x:c r="E5" s="62"/>
      <x:c r="F5" s="62"/>
      <x:c r="G5" s="67" t="n">
        <x:f>COUNTIF('Tickets'!$K$5:$K$40,"SÍ")/COUNTA('Tickets'!$A$5:$A$40)</x:f>
        <x:v>0.9444444444444444</x:v>
      </x:c>
      <x:c r="H5" s="67"/>
      <x:c r="I5" s="62" t="n">
        <x:f>COUNTIF('Mantenimiento'!$H$4:$H$27,"VENCIDO")</x:f>
        <x:v>14</x:v>
      </x:c>
      <x:c r="J5" s="63"/>
    </x:row>
    <x:row r="6">
      <x:c r="A6" s="64"/>
      <x:c r="B6" s="65"/>
      <x:c r="C6" s="65"/>
      <x:c r="D6" s="65"/>
      <x:c r="E6" s="65"/>
      <x:c r="F6" s="65"/>
      <x:c r="G6" s="68"/>
      <x:c r="H6" s="68"/>
      <x:c r="I6" s="65"/>
      <x:c r="J6" s="66"/>
    </x:row>
    <x:row r="9" ht="32" customHeight="1">
      <x:c r="A9" s="7" t="str">
        <x:v>Categoría</x:v>
      </x:c>
      <x:c r="B9" s="7" t="str">
        <x:v>Tickets</x:v>
      </x:c>
      <x:c r="D9" s="7" t="str">
        <x:v>Estado activo</x:v>
      </x:c>
      <x:c r="E9" s="7" t="str">
        <x:v>Cantidad</x:v>
      </x:c>
    </x:row>
    <x:row r="10">
      <x:c r="A10" t="str">
        <x:v>Hardware</x:v>
      </x:c>
      <x:c r="B10" t="n">
        <x:f>COUNTIF('Tickets'!$D$5:$D$40,A10)</x:f>
        <x:v>6</x:v>
      </x:c>
      <x:c r="D10" t="str">
        <x:v>Operativo</x:v>
      </x:c>
      <x:c r="E10" t="n">
        <x:f>COUNTIF('Activos'!$I$5:$I$34,D10)</x:f>
        <x:v>18</x:v>
      </x:c>
    </x:row>
    <x:row r="11">
      <x:c r="A11" t="str">
        <x:v>Software</x:v>
      </x:c>
      <x:c r="B11" t="n">
        <x:f>COUNTIF('Tickets'!$D$5:$D$40,A11)</x:f>
        <x:v>6</x:v>
      </x:c>
      <x:c r="D11" t="str">
        <x:v>Mantenimiento</x:v>
      </x:c>
      <x:c r="E11" t="n">
        <x:f>COUNTIF('Activos'!$I$5:$I$34,D11)</x:f>
        <x:v>6</x:v>
      </x:c>
    </x:row>
    <x:row r="12">
      <x:c r="A12" t="str">
        <x:v>Red</x:v>
      </x:c>
      <x:c r="B12" t="n">
        <x:f>COUNTIF('Tickets'!$D$5:$D$40,A12)</x:f>
        <x:v>6</x:v>
      </x:c>
      <x:c r="D12" t="str">
        <x:v>Reserva</x:v>
      </x:c>
      <x:c r="E12" t="n">
        <x:f>COUNTIF('Activos'!$I$5:$I$34,D12)</x:f>
        <x:v>6</x:v>
      </x:c>
    </x:row>
    <x:row r="13">
      <x:c r="A13" t="str">
        <x:v>Cuenta de usuario</x:v>
      </x:c>
      <x:c r="B13" t="n">
        <x:f>COUNTIF('Tickets'!$D$5:$D$40,A13)</x:f>
        <x:v>6</x:v>
      </x:c>
      <x:c r="D13" t="str">
        <x:v>Baja</x:v>
      </x:c>
      <x:c r="E13" t="n">
        <x:f>COUNTIF('Activos'!$I$5:$I$34,D13)</x:f>
        <x:v>0</x:v>
      </x:c>
    </x:row>
    <x:row r="14">
      <x:c r="A14" t="str">
        <x:v>ERP</x:v>
      </x:c>
      <x:c r="B14" t="n">
        <x:f>COUNTIF('Tickets'!$D$5:$D$40,A14)</x:f>
        <x:v>6</x:v>
      </x:c>
      <x:c r="D14" t="str">
        <x:v>Garantía vencida</x:v>
      </x:c>
      <x:c r="E14" t="n">
        <x:f>COUNTIF('Activos'!$L$5:$L$34,"VENCIDA")</x:f>
        <x:v>8</x:v>
      </x:c>
    </x:row>
    <x:row r="15">
      <x:c r="A15" t="str">
        <x:v>CCTV</x:v>
      </x:c>
      <x:c r="B15" t="n">
        <x:f>COUNTIF('Tickets'!$D$5:$D$40,A15)</x:f>
        <x:v>6</x:v>
      </x:c>
    </x:row>
    <x:row r="33">
      <x:c r="A33" s="86" t="str">
        <x:v>Prueba: modifique prioridad, horas, estado de activos o fechas. Los controles y KPIs se actualizan mediante fórmulas visibles. Todos los datos son ficticios.</x:v>
      </x:c>
      <x:c r="B33" s="87"/>
      <x:c r="C33" s="87"/>
      <x:c r="D33" s="87"/>
      <x:c r="E33" s="87"/>
      <x:c r="F33" s="87"/>
      <x:c r="G33" s="87"/>
      <x:c r="H33" s="87"/>
      <x:c r="I33" s="87"/>
      <x:c r="J33" s="88"/>
    </x:row>
    <x:row r="34">
      <x:c r="A34" s="89"/>
      <x:c r="B34" s="90"/>
      <x:c r="C34" s="90"/>
      <x:c r="D34" s="90"/>
      <x:c r="E34" s="90"/>
      <x:c r="F34" s="90"/>
      <x:c r="G34" s="90"/>
      <x:c r="H34" s="90"/>
      <x:c r="I34" s="90"/>
      <x:c r="J34" s="91"/>
    </x:row>
    <x:row r="35">
      <x:c r="A35" s="92"/>
      <x:c r="B35" s="93"/>
      <x:c r="C35" s="93"/>
      <x:c r="D35" s="93"/>
      <x:c r="E35" s="93"/>
      <x:c r="F35" s="93"/>
      <x:c r="G35" s="93"/>
      <x:c r="H35" s="93"/>
      <x:c r="I35" s="93"/>
      <x:c r="J35" s="94"/>
    </x:row>
  </x:sheetData>
  <x:mergeCells>
    <x:mergeCell ref="A1:J1"/>
    <x:mergeCell ref="A2:J2"/>
    <x:mergeCell ref="A4:B4"/>
    <x:mergeCell ref="D4:E4"/>
    <x:mergeCell ref="G4:H4"/>
    <x:mergeCell ref="I4:J4"/>
    <x:mergeCell ref="A5:B6"/>
    <x:mergeCell ref="D5:E6"/>
    <x:mergeCell ref="G5:H6"/>
    <x:mergeCell ref="I5:J6"/>
    <x:mergeCell ref="A33:J35"/>
  </x:mergeCells>
  <x:pageMargins left="0.7" right="0.7" top="0.75" bottom="0.75" header="0.3" footer="0.3"/>
  <x:drawing xmlns:r="http://schemas.openxmlformats.org/officeDocument/2006/relationships" r:id="R40dbe082b231470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4" max="4" width="17" hidden="0" customWidth="1"/>
    <x:col min="2" max="2" width="15" hidden="0" customWidth="1"/>
    <x:col min="3" max="3" width="18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4" customHeight="1">
      <x:c r="A1" s="3" t="str">
        <x:v>ERP SIMULADO - INVENTARIO Y CICLO DE VIDA DE ACTIVOS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2" customHeight="1">
      <x:c r="A2" s="18" t="str">
        <x:v>Datos 100% ficticios. Proyecto demostrativo; no representa una implementación productiva ni experiencia laboral.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</x:row>
    <x:row r="4" ht="32" customHeight="1">
      <x:c r="A4" s="20" t="str">
        <x:v>Activo ID</x:v>
      </x:c>
      <x:c r="B4" s="21" t="str">
        <x:v>Tipo</x:v>
      </x:c>
      <x:c r="C4" s="21" t="str">
        <x:v>Marca/modelo</x:v>
      </x:c>
      <x:c r="D4" s="21" t="str">
        <x:v>Serie ficticia</x:v>
      </x:c>
      <x:c r="E4" s="21" t="str">
        <x:v>Área</x:v>
      </x:c>
      <x:c r="F4" s="21" t="str">
        <x:v>Usuario</x:v>
      </x:c>
      <x:c r="G4" s="21" t="str">
        <x:v>IP</x:v>
      </x:c>
      <x:c r="H4" s="21" t="str">
        <x:v>VLAN</x:v>
      </x:c>
      <x:c r="I4" s="21" t="str">
        <x:v>Estado</x:v>
      </x:c>
      <x:c r="J4" s="21" t="str">
        <x:v>Alta</x:v>
      </x:c>
      <x:c r="K4" s="21" t="str">
        <x:v>Fin garantía</x:v>
      </x:c>
      <x:c r="L4" s="21" t="str">
        <x:v>Garantía</x:v>
      </x:c>
      <x:c r="M4" s="21" t="str">
        <x:v>Último respaldo</x:v>
      </x:c>
      <x:c r="N4" s="22" t="str">
        <x:v>Control ID</x:v>
      </x:c>
    </x:row>
    <x:row r="5">
      <x:c r="A5" s="31" t="str">
        <x:v>AST-0001</x:v>
      </x:c>
      <x:c r="B5" s="32" t="str">
        <x:v>Laptop</x:v>
      </x:c>
      <x:c r="C5" s="32" t="str">
        <x:v>Dell Latitude</x:v>
      </x:c>
      <x:c r="D5" s="32" t="str">
        <x:v>SN-DEMO-10000</x:v>
      </x:c>
      <x:c r="E5" s="32" t="str">
        <x:v>Administración</x:v>
      </x:c>
      <x:c r="F5" s="32" t="str">
        <x:v>Almacén TI</x:v>
      </x:c>
      <x:c r="G5" s="32" t="str">
        <x:v>10.10.1.20</x:v>
      </x:c>
      <x:c r="H5" s="32" t="n">
        <x:v>10</x:v>
      </x:c>
      <x:c r="I5" s="32" t="str">
        <x:v>Operativo</x:v>
      </x:c>
      <x:c r="J5" s="33" t="n">
        <x:v>45296</x:v>
      </x:c>
      <x:c r="K5" s="33" t="n">
        <x:v>46027</x:v>
      </x:c>
      <x:c r="L5" s="33" t="str">
        <x:f>IF(K5&gt;=DATE(2026,9,1),"VIGENTE","VENCIDA")</x:f>
        <x:v>VENCIDA</x:v>
      </x:c>
      <x:c r="M5" s="33" t="n">
        <x:v>46235</x:v>
      </x:c>
      <x:c r="N5" s="34" t="str">
        <x:f>IF(COUNTIF($A$5:$A$34,A5)&gt;1,"REVISAR","ÚNICO")</x:f>
        <x:v>ÚNICO</x:v>
      </x:c>
    </x:row>
    <x:row r="6">
      <x:c r="A6" s="31" t="str">
        <x:v>AST-0002</x:v>
      </x:c>
      <x:c r="B6" s="32" t="str">
        <x:v>Desktop</x:v>
      </x:c>
      <x:c r="C6" s="32" t="str">
        <x:v>HP ProDesk</x:v>
      </x:c>
      <x:c r="D6" s="32" t="str">
        <x:v>SN-DEMO-10001</x:v>
      </x:c>
      <x:c r="E6" s="32" t="str">
        <x:v>Clínica</x:v>
      </x:c>
      <x:c r="F6" s="32" t="str">
        <x:v>Usuario 02</x:v>
      </x:c>
      <x:c r="G6" s="32" t="str">
        <x:v>10.20.1.21</x:v>
      </x:c>
      <x:c r="H6" s="32" t="n">
        <x:v>20</x:v>
      </x:c>
      <x:c r="I6" s="32" t="str">
        <x:v>Operativo</x:v>
      </x:c>
      <x:c r="J6" s="33" t="n">
        <x:v>45694</x:v>
      </x:c>
      <x:c r="K6" s="33" t="n">
        <x:v>46424</x:v>
      </x:c>
      <x:c r="L6" s="33" t="str">
        <x:f>IF(K6&gt;=DATE(2026,9,1),"VIGENTE","VENCIDA")</x:f>
        <x:v>VIGENTE</x:v>
      </x:c>
      <x:c r="M6" s="33" t="n">
        <x:v>46236</x:v>
      </x:c>
      <x:c r="N6" s="34" t="str">
        <x:f>IF(COUNTIF($A$5:$A$34,A6)&gt;1,"REVISAR","ÚNICO")</x:f>
        <x:v>ÚNICO</x:v>
      </x:c>
    </x:row>
    <x:row r="7">
      <x:c r="A7" s="31" t="str">
        <x:v>AST-0003</x:v>
      </x:c>
      <x:c r="B7" s="32" t="str">
        <x:v>Switch</x:v>
      </x:c>
      <x:c r="C7" s="32" t="str">
        <x:v>Cisco CBS</x:v>
      </x:c>
      <x:c r="D7" s="32" t="str">
        <x:v>SN-DEMO-10002</x:v>
      </x:c>
      <x:c r="E7" s="32" t="str">
        <x:v>Recepción</x:v>
      </x:c>
      <x:c r="F7" s="32" t="str">
        <x:v>Almacén TI</x:v>
      </x:c>
      <x:c r="G7" s="32" t="str">
        <x:v>10.30.1.22</x:v>
      </x:c>
      <x:c r="H7" s="32" t="n">
        <x:v>30</x:v>
      </x:c>
      <x:c r="I7" s="32" t="str">
        <x:v>Operativo</x:v>
      </x:c>
      <x:c r="J7" s="33" t="n">
        <x:v>45358</x:v>
      </x:c>
      <x:c r="K7" s="33" t="n">
        <x:v>46819</x:v>
      </x:c>
      <x:c r="L7" s="33" t="str">
        <x:f>IF(K7&gt;=DATE(2026,9,1),"VIGENTE","VENCIDA")</x:f>
        <x:v>VIGENTE</x:v>
      </x:c>
      <x:c r="M7" s="33" t="n">
        <x:v>46237</x:v>
      </x:c>
      <x:c r="N7" s="34" t="str">
        <x:f>IF(COUNTIF($A$5:$A$34,A7)&gt;1,"REVISAR","ÚNICO")</x:f>
        <x:v>ÚNICO</x:v>
      </x:c>
    </x:row>
    <x:row r="8">
      <x:c r="A8" s="31" t="str">
        <x:v>AST-0004</x:v>
      </x:c>
      <x:c r="B8" s="32" t="str">
        <x:v>Cámara CCTV</x:v>
      </x:c>
      <x:c r="C8" s="32" t="str">
        <x:v>Hikvision DS</x:v>
      </x:c>
      <x:c r="D8" s="32" t="str">
        <x:v>SN-DEMO-10003</x:v>
      </x:c>
      <x:c r="E8" s="32" t="str">
        <x:v>TI</x:v>
      </x:c>
      <x:c r="F8" s="32" t="str">
        <x:v>Almacén TI</x:v>
      </x:c>
      <x:c r="G8" s="32" t="str">
        <x:v>10.40.1.23</x:v>
      </x:c>
      <x:c r="H8" s="32" t="n">
        <x:v>40</x:v>
      </x:c>
      <x:c r="I8" s="32" t="str">
        <x:v>Reserva</x:v>
      </x:c>
      <x:c r="J8" s="33" t="n">
        <x:v>45755</x:v>
      </x:c>
      <x:c r="K8" s="33" t="n">
        <x:v>46120</x:v>
      </x:c>
      <x:c r="L8" s="33" t="str">
        <x:f>IF(K8&gt;=DATE(2026,9,1),"VIGENTE","VENCIDA")</x:f>
        <x:v>VENCIDA</x:v>
      </x:c>
      <x:c r="M8" s="33" t="n">
        <x:v>46238</x:v>
      </x:c>
      <x:c r="N8" s="34" t="str">
        <x:f>IF(COUNTIF($A$5:$A$34,A8)&gt;1,"REVISAR","ÚNICO")</x:f>
        <x:v>ÚNICO</x:v>
      </x:c>
    </x:row>
    <x:row r="9">
      <x:c r="A9" s="31" t="str">
        <x:v>AST-0005</x:v>
      </x:c>
      <x:c r="B9" s="32" t="str">
        <x:v>Laptop</x:v>
      </x:c>
      <x:c r="C9" s="32" t="str">
        <x:v>Dell Latitude</x:v>
      </x:c>
      <x:c r="D9" s="32" t="str">
        <x:v>SN-DEMO-10004</x:v>
      </x:c>
      <x:c r="E9" s="32" t="str">
        <x:v>Almacén</x:v>
      </x:c>
      <x:c r="F9" s="32" t="str">
        <x:v>Usuario 05</x:v>
      </x:c>
      <x:c r="G9" s="32" t="str">
        <x:v>10.10.1.24</x:v>
      </x:c>
      <x:c r="H9" s="32" t="n">
        <x:v>10</x:v>
      </x:c>
      <x:c r="I9" s="32" t="str">
        <x:v>Mantenimiento</x:v>
      </x:c>
      <x:c r="J9" s="33" t="n">
        <x:v>45421</x:v>
      </x:c>
      <x:c r="K9" s="33" t="n">
        <x:v>46516</x:v>
      </x:c>
      <x:c r="L9" s="33" t="str">
        <x:f>IF(K9&gt;=DATE(2026,9,1),"VIGENTE","VENCIDA")</x:f>
        <x:v>VIGENTE</x:v>
      </x:c>
      <x:c r="M9" s="33" t="n">
        <x:v>46239</x:v>
      </x:c>
      <x:c r="N9" s="34" t="str">
        <x:f>IF(COUNTIF($A$5:$A$34,A9)&gt;1,"REVISAR","ÚNICO")</x:f>
        <x:v>ÚNICO</x:v>
      </x:c>
    </x:row>
    <x:row r="10">
      <x:c r="A10" s="31" t="str">
        <x:v>AST-0006</x:v>
      </x:c>
      <x:c r="B10" s="32" t="str">
        <x:v>Desktop</x:v>
      </x:c>
      <x:c r="C10" s="32" t="str">
        <x:v>HP ProDesk</x:v>
      </x:c>
      <x:c r="D10" s="32" t="str">
        <x:v>SN-DEMO-10005</x:v>
      </x:c>
      <x:c r="E10" s="32" t="str">
        <x:v>Administración</x:v>
      </x:c>
      <x:c r="F10" s="32" t="str">
        <x:v>Usuario 06</x:v>
      </x:c>
      <x:c r="G10" s="32" t="str">
        <x:v>10.20.1.25</x:v>
      </x:c>
      <x:c r="H10" s="32" t="n">
        <x:v>20</x:v>
      </x:c>
      <x:c r="I10" s="32" t="str">
        <x:v>Operativo</x:v>
      </x:c>
      <x:c r="J10" s="33" t="n">
        <x:v>45818</x:v>
      </x:c>
      <x:c r="K10" s="33" t="n">
        <x:v>46914</x:v>
      </x:c>
      <x:c r="L10" s="33" t="str">
        <x:f>IF(K10&gt;=DATE(2026,9,1),"VIGENTE","VENCIDA")</x:f>
        <x:v>VIGENTE</x:v>
      </x:c>
      <x:c r="M10" s="33" t="n">
        <x:v>46240</x:v>
      </x:c>
      <x:c r="N10" s="34" t="str">
        <x:f>IF(COUNTIF($A$5:$A$34,A10)&gt;1,"REVISAR","ÚNICO")</x:f>
        <x:v>ÚNICO</x:v>
      </x:c>
    </x:row>
    <x:row r="11">
      <x:c r="A11" s="31" t="str">
        <x:v>AST-0007</x:v>
      </x:c>
      <x:c r="B11" s="32" t="str">
        <x:v>Switch</x:v>
      </x:c>
      <x:c r="C11" s="32" t="str">
        <x:v>Cisco CBS</x:v>
      </x:c>
      <x:c r="D11" s="32" t="str">
        <x:v>SN-DEMO-10006</x:v>
      </x:c>
      <x:c r="E11" s="32" t="str">
        <x:v>Clínica</x:v>
      </x:c>
      <x:c r="F11" s="32" t="str">
        <x:v>Almacén TI</x:v>
      </x:c>
      <x:c r="G11" s="32" t="str">
        <x:v>10.30.1.26</x:v>
      </x:c>
      <x:c r="H11" s="32" t="n">
        <x:v>30</x:v>
      </x:c>
      <x:c r="I11" s="32" t="str">
        <x:v>Operativo</x:v>
      </x:c>
      <x:c r="J11" s="33" t="n">
        <x:v>45484</x:v>
      </x:c>
      <x:c r="K11" s="33" t="n">
        <x:v>46214</x:v>
      </x:c>
      <x:c r="L11" s="33" t="str">
        <x:f>IF(K11&gt;=DATE(2026,9,1),"VIGENTE","VENCIDA")</x:f>
        <x:v>VENCIDA</x:v>
      </x:c>
      <x:c r="M11" s="33" t="n">
        <x:v>46241</x:v>
      </x:c>
      <x:c r="N11" s="34" t="str">
        <x:f>IF(COUNTIF($A$5:$A$34,A11)&gt;1,"REVISAR","ÚNICO")</x:f>
        <x:v>ÚNICO</x:v>
      </x:c>
    </x:row>
    <x:row r="12">
      <x:c r="A12" s="31" t="str">
        <x:v>AST-0008</x:v>
      </x:c>
      <x:c r="B12" s="32" t="str">
        <x:v>Cámara CCTV</x:v>
      </x:c>
      <x:c r="C12" s="32" t="str">
        <x:v>Hikvision DS</x:v>
      </x:c>
      <x:c r="D12" s="32" t="str">
        <x:v>SN-DEMO-10007</x:v>
      </x:c>
      <x:c r="E12" s="32" t="str">
        <x:v>Recepción</x:v>
      </x:c>
      <x:c r="F12" s="32" t="str">
        <x:v>Almacén TI</x:v>
      </x:c>
      <x:c r="G12" s="32" t="str">
        <x:v>10.40.1.27</x:v>
      </x:c>
      <x:c r="H12" s="32" t="n">
        <x:v>40</x:v>
      </x:c>
      <x:c r="I12" s="32" t="str">
        <x:v>Operativo</x:v>
      </x:c>
      <x:c r="J12" s="33" t="n">
        <x:v>45881</x:v>
      </x:c>
      <x:c r="K12" s="33" t="n">
        <x:v>46611</x:v>
      </x:c>
      <x:c r="L12" s="33" t="str">
        <x:f>IF(K12&gt;=DATE(2026,9,1),"VIGENTE","VENCIDA")</x:f>
        <x:v>VIGENTE</x:v>
      </x:c>
      <x:c r="M12" s="33" t="n">
        <x:v>46242</x:v>
      </x:c>
      <x:c r="N12" s="34" t="str">
        <x:f>IF(COUNTIF($A$5:$A$34,A12)&gt;1,"REVISAR","ÚNICO")</x:f>
        <x:v>ÚNICO</x:v>
      </x:c>
    </x:row>
    <x:row r="13">
      <x:c r="A13" s="31" t="str">
        <x:v>AST-0009</x:v>
      </x:c>
      <x:c r="B13" s="32" t="str">
        <x:v>Laptop</x:v>
      </x:c>
      <x:c r="C13" s="32" t="str">
        <x:v>Dell Latitude</x:v>
      </x:c>
      <x:c r="D13" s="32" t="str">
        <x:v>SN-DEMO-10008</x:v>
      </x:c>
      <x:c r="E13" s="32" t="str">
        <x:v>TI</x:v>
      </x:c>
      <x:c r="F13" s="32" t="str">
        <x:v>Usuario 09</x:v>
      </x:c>
      <x:c r="G13" s="32" t="str">
        <x:v>10.10.1.28</x:v>
      </x:c>
      <x:c r="H13" s="32" t="n">
        <x:v>10</x:v>
      </x:c>
      <x:c r="I13" s="32" t="str">
        <x:v>Reserva</x:v>
      </x:c>
      <x:c r="J13" s="33" t="n">
        <x:v>45548</x:v>
      </x:c>
      <x:c r="K13" s="33" t="n">
        <x:v>47009</x:v>
      </x:c>
      <x:c r="L13" s="33" t="str">
        <x:f>IF(K13&gt;=DATE(2026,9,1),"VIGENTE","VENCIDA")</x:f>
        <x:v>VIGENTE</x:v>
      </x:c>
      <x:c r="M13" s="33" t="n">
        <x:v>46243</x:v>
      </x:c>
      <x:c r="N13" s="34" t="str">
        <x:f>IF(COUNTIF($A$5:$A$34,A13)&gt;1,"REVISAR","ÚNICO")</x:f>
        <x:v>ÚNICO</x:v>
      </x:c>
    </x:row>
    <x:row r="14">
      <x:c r="A14" s="31" t="str">
        <x:v>AST-0010</x:v>
      </x:c>
      <x:c r="B14" s="32" t="str">
        <x:v>Desktop</x:v>
      </x:c>
      <x:c r="C14" s="32" t="str">
        <x:v>HP ProDesk</x:v>
      </x:c>
      <x:c r="D14" s="32" t="str">
        <x:v>SN-DEMO-10009</x:v>
      </x:c>
      <x:c r="E14" s="32" t="str">
        <x:v>Almacén</x:v>
      </x:c>
      <x:c r="F14" s="32" t="str">
        <x:v>Usuario 10</x:v>
      </x:c>
      <x:c r="G14" s="32" t="str">
        <x:v>10.20.1.29</x:v>
      </x:c>
      <x:c r="H14" s="32" t="n">
        <x:v>20</x:v>
      </x:c>
      <x:c r="I14" s="32" t="str">
        <x:v>Mantenimiento</x:v>
      </x:c>
      <x:c r="J14" s="33" t="n">
        <x:v>45944</x:v>
      </x:c>
      <x:c r="K14" s="33" t="n">
        <x:v>46309</x:v>
      </x:c>
      <x:c r="L14" s="33" t="str">
        <x:f>IF(K14&gt;=DATE(2026,9,1),"VIGENTE","VENCIDA")</x:f>
        <x:v>VIGENTE</x:v>
      </x:c>
      <x:c r="M14" s="33" t="n">
        <x:v>46244</x:v>
      </x:c>
      <x:c r="N14" s="34" t="str">
        <x:f>IF(COUNTIF($A$5:$A$34,A14)&gt;1,"REVISAR","ÚNICO")</x:f>
        <x:v>ÚNICO</x:v>
      </x:c>
    </x:row>
    <x:row r="15">
      <x:c r="A15" s="31" t="str">
        <x:v>AST-0011</x:v>
      </x:c>
      <x:c r="B15" s="32" t="str">
        <x:v>Switch</x:v>
      </x:c>
      <x:c r="C15" s="32" t="str">
        <x:v>Cisco CBS</x:v>
      </x:c>
      <x:c r="D15" s="32" t="str">
        <x:v>SN-DEMO-10010</x:v>
      </x:c>
      <x:c r="E15" s="32" t="str">
        <x:v>Administración</x:v>
      </x:c>
      <x:c r="F15" s="32" t="str">
        <x:v>Almacén TI</x:v>
      </x:c>
      <x:c r="G15" s="32" t="str">
        <x:v>10.30.1.30</x:v>
      </x:c>
      <x:c r="H15" s="32" t="n">
        <x:v>30</x:v>
      </x:c>
      <x:c r="I15" s="32" t="str">
        <x:v>Operativo</x:v>
      </x:c>
      <x:c r="J15" s="33" t="n">
        <x:v>45611</x:v>
      </x:c>
      <x:c r="K15" s="33" t="n">
        <x:v>46706</x:v>
      </x:c>
      <x:c r="L15" s="33" t="str">
        <x:f>IF(K15&gt;=DATE(2026,9,1),"VIGENTE","VENCIDA")</x:f>
        <x:v>VIGENTE</x:v>
      </x:c>
      <x:c r="M15" s="33" t="n">
        <x:v>46245</x:v>
      </x:c>
      <x:c r="N15" s="34" t="str">
        <x:f>IF(COUNTIF($A$5:$A$34,A15)&gt;1,"REVISAR","ÚNICO")</x:f>
        <x:v>ÚNICO</x:v>
      </x:c>
    </x:row>
    <x:row r="16">
      <x:c r="A16" s="31" t="str">
        <x:v>AST-0012</x:v>
      </x:c>
      <x:c r="B16" s="32" t="str">
        <x:v>Cámara CCTV</x:v>
      </x:c>
      <x:c r="C16" s="32" t="str">
        <x:v>Hikvision DS</x:v>
      </x:c>
      <x:c r="D16" s="32" t="str">
        <x:v>SN-DEMO-10011</x:v>
      </x:c>
      <x:c r="E16" s="32" t="str">
        <x:v>Clínica</x:v>
      </x:c>
      <x:c r="F16" s="32" t="str">
        <x:v>Almacén TI</x:v>
      </x:c>
      <x:c r="G16" s="32" t="str">
        <x:v>10.40.1.31</x:v>
      </x:c>
      <x:c r="H16" s="32" t="n">
        <x:v>40</x:v>
      </x:c>
      <x:c r="I16" s="32" t="str">
        <x:v>Operativo</x:v>
      </x:c>
      <x:c r="J16" s="33" t="n">
        <x:v>46007</x:v>
      </x:c>
      <x:c r="K16" s="33" t="n">
        <x:v>47103</x:v>
      </x:c>
      <x:c r="L16" s="33" t="str">
        <x:f>IF(K16&gt;=DATE(2026,9,1),"VIGENTE","VENCIDA")</x:f>
        <x:v>VIGENTE</x:v>
      </x:c>
      <x:c r="M16" s="33" t="n">
        <x:v>46246</x:v>
      </x:c>
      <x:c r="N16" s="34" t="str">
        <x:f>IF(COUNTIF($A$5:$A$34,A16)&gt;1,"REVISAR","ÚNICO")</x:f>
        <x:v>ÚNICO</x:v>
      </x:c>
    </x:row>
    <x:row r="17">
      <x:c r="A17" s="31" t="str">
        <x:v>AST-0013</x:v>
      </x:c>
      <x:c r="B17" s="32" t="str">
        <x:v>Laptop</x:v>
      </x:c>
      <x:c r="C17" s="32" t="str">
        <x:v>Dell Latitude</x:v>
      </x:c>
      <x:c r="D17" s="32" t="str">
        <x:v>SN-DEMO-10012</x:v>
      </x:c>
      <x:c r="E17" s="32" t="str">
        <x:v>Recepción</x:v>
      </x:c>
      <x:c r="F17" s="32" t="str">
        <x:v>Almacén TI</x:v>
      </x:c>
      <x:c r="G17" s="32" t="str">
        <x:v>10.10.1.32</x:v>
      </x:c>
      <x:c r="H17" s="32" t="n">
        <x:v>10</x:v>
      </x:c>
      <x:c r="I17" s="32" t="str">
        <x:v>Operativo</x:v>
      </x:c>
      <x:c r="J17" s="33" t="n">
        <x:v>45308</x:v>
      </x:c>
      <x:c r="K17" s="33" t="n">
        <x:v>46039</x:v>
      </x:c>
      <x:c r="L17" s="33" t="str">
        <x:f>IF(K17&gt;=DATE(2026,9,1),"VIGENTE","VENCIDA")</x:f>
        <x:v>VENCIDA</x:v>
      </x:c>
      <x:c r="M17" s="33" t="n">
        <x:v>46247</x:v>
      </x:c>
      <x:c r="N17" s="34" t="str">
        <x:f>IF(COUNTIF($A$5:$A$34,A17)&gt;1,"REVISAR","ÚNICO")</x:f>
        <x:v>ÚNICO</x:v>
      </x:c>
    </x:row>
    <x:row r="18">
      <x:c r="A18" s="31" t="str">
        <x:v>AST-0014</x:v>
      </x:c>
      <x:c r="B18" s="32" t="str">
        <x:v>Desktop</x:v>
      </x:c>
      <x:c r="C18" s="32" t="str">
        <x:v>HP ProDesk</x:v>
      </x:c>
      <x:c r="D18" s="32" t="str">
        <x:v>SN-DEMO-10013</x:v>
      </x:c>
      <x:c r="E18" s="32" t="str">
        <x:v>TI</x:v>
      </x:c>
      <x:c r="F18" s="32" t="str">
        <x:v>Usuario 14</x:v>
      </x:c>
      <x:c r="G18" s="32" t="str">
        <x:v>10.20.1.33</x:v>
      </x:c>
      <x:c r="H18" s="32" t="n">
        <x:v>20</x:v>
      </x:c>
      <x:c r="I18" s="32" t="str">
        <x:v>Reserva</x:v>
      </x:c>
      <x:c r="J18" s="33" t="n">
        <x:v>45706</x:v>
      </x:c>
      <x:c r="K18" s="33" t="n">
        <x:v>46436</x:v>
      </x:c>
      <x:c r="L18" s="33" t="str">
        <x:f>IF(K18&gt;=DATE(2026,9,1),"VIGENTE","VENCIDA")</x:f>
        <x:v>VIGENTE</x:v>
      </x:c>
      <x:c r="M18" s="33" t="n">
        <x:v>46248</x:v>
      </x:c>
      <x:c r="N18" s="34" t="str">
        <x:f>IF(COUNTIF($A$5:$A$34,A18)&gt;1,"REVISAR","ÚNICO")</x:f>
        <x:v>ÚNICO</x:v>
      </x:c>
    </x:row>
    <x:row r="19">
      <x:c r="A19" s="31" t="str">
        <x:v>AST-0015</x:v>
      </x:c>
      <x:c r="B19" s="32" t="str">
        <x:v>Switch</x:v>
      </x:c>
      <x:c r="C19" s="32" t="str">
        <x:v>Cisco CBS</x:v>
      </x:c>
      <x:c r="D19" s="32" t="str">
        <x:v>SN-DEMO-10014</x:v>
      </x:c>
      <x:c r="E19" s="32" t="str">
        <x:v>Almacén</x:v>
      </x:c>
      <x:c r="F19" s="32" t="str">
        <x:v>Almacén TI</x:v>
      </x:c>
      <x:c r="G19" s="32" t="str">
        <x:v>10.30.1.34</x:v>
      </x:c>
      <x:c r="H19" s="32" t="n">
        <x:v>30</x:v>
      </x:c>
      <x:c r="I19" s="32" t="str">
        <x:v>Mantenimiento</x:v>
      </x:c>
      <x:c r="J19" s="33" t="n">
        <x:v>45370</x:v>
      </x:c>
      <x:c r="K19" s="33" t="n">
        <x:v>46831</x:v>
      </x:c>
      <x:c r="L19" s="33" t="str">
        <x:f>IF(K19&gt;=DATE(2026,9,1),"VIGENTE","VENCIDA")</x:f>
        <x:v>VIGENTE</x:v>
      </x:c>
      <x:c r="M19" s="33" t="n">
        <x:v>46249</x:v>
      </x:c>
      <x:c r="N19" s="34" t="str">
        <x:f>IF(COUNTIF($A$5:$A$34,A19)&gt;1,"REVISAR","ÚNICO")</x:f>
        <x:v>ÚNICO</x:v>
      </x:c>
    </x:row>
    <x:row r="20">
      <x:c r="A20" s="31" t="str">
        <x:v>AST-0016</x:v>
      </x:c>
      <x:c r="B20" s="32" t="str">
        <x:v>Cámara CCTV</x:v>
      </x:c>
      <x:c r="C20" s="32" t="str">
        <x:v>Hikvision DS</x:v>
      </x:c>
      <x:c r="D20" s="32" t="str">
        <x:v>SN-DEMO-10015</x:v>
      </x:c>
      <x:c r="E20" s="32" t="str">
        <x:v>Administración</x:v>
      </x:c>
      <x:c r="F20" s="32" t="str">
        <x:v>Almacén TI</x:v>
      </x:c>
      <x:c r="G20" s="32" t="str">
        <x:v>10.40.1.35</x:v>
      </x:c>
      <x:c r="H20" s="32" t="n">
        <x:v>40</x:v>
      </x:c>
      <x:c r="I20" s="32" t="str">
        <x:v>Operativo</x:v>
      </x:c>
      <x:c r="J20" s="33" t="n">
        <x:v>45767</x:v>
      </x:c>
      <x:c r="K20" s="33" t="n">
        <x:v>46132</x:v>
      </x:c>
      <x:c r="L20" s="33" t="str">
        <x:f>IF(K20&gt;=DATE(2026,9,1),"VIGENTE","VENCIDA")</x:f>
        <x:v>VENCIDA</x:v>
      </x:c>
      <x:c r="M20" s="33" t="n">
        <x:v>46250</x:v>
      </x:c>
      <x:c r="N20" s="34" t="str">
        <x:f>IF(COUNTIF($A$5:$A$34,A20)&gt;1,"REVISAR","ÚNICO")</x:f>
        <x:v>ÚNICO</x:v>
      </x:c>
    </x:row>
    <x:row r="21">
      <x:c r="A21" s="31" t="str">
        <x:v>AST-0017</x:v>
      </x:c>
      <x:c r="B21" s="32" t="str">
        <x:v>Laptop</x:v>
      </x:c>
      <x:c r="C21" s="32" t="str">
        <x:v>Dell Latitude</x:v>
      </x:c>
      <x:c r="D21" s="32" t="str">
        <x:v>SN-DEMO-10016</x:v>
      </x:c>
      <x:c r="E21" s="32" t="str">
        <x:v>Clínica</x:v>
      </x:c>
      <x:c r="F21" s="32" t="str">
        <x:v>Usuario 17</x:v>
      </x:c>
      <x:c r="G21" s="32" t="str">
        <x:v>10.10.1.36</x:v>
      </x:c>
      <x:c r="H21" s="32" t="n">
        <x:v>10</x:v>
      </x:c>
      <x:c r="I21" s="32" t="str">
        <x:v>Operativo</x:v>
      </x:c>
      <x:c r="J21" s="33" t="n">
        <x:v>45433</x:v>
      </x:c>
      <x:c r="K21" s="33" t="n">
        <x:v>46528</x:v>
      </x:c>
      <x:c r="L21" s="33" t="str">
        <x:f>IF(K21&gt;=DATE(2026,9,1),"VIGENTE","VENCIDA")</x:f>
        <x:v>VIGENTE</x:v>
      </x:c>
      <x:c r="M21" s="33" t="n">
        <x:v>46251</x:v>
      </x:c>
      <x:c r="N21" s="34" t="str">
        <x:f>IF(COUNTIF($A$5:$A$34,A21)&gt;1,"REVISAR","ÚNICO")</x:f>
        <x:v>ÚNICO</x:v>
      </x:c>
    </x:row>
    <x:row r="22">
      <x:c r="A22" s="31" t="str">
        <x:v>AST-0018</x:v>
      </x:c>
      <x:c r="B22" s="32" t="str">
        <x:v>Desktop</x:v>
      </x:c>
      <x:c r="C22" s="32" t="str">
        <x:v>HP ProDesk</x:v>
      </x:c>
      <x:c r="D22" s="32" t="str">
        <x:v>SN-DEMO-10017</x:v>
      </x:c>
      <x:c r="E22" s="32" t="str">
        <x:v>Recepción</x:v>
      </x:c>
      <x:c r="F22" s="32" t="str">
        <x:v>Usuario 18</x:v>
      </x:c>
      <x:c r="G22" s="32" t="str">
        <x:v>10.20.1.37</x:v>
      </x:c>
      <x:c r="H22" s="32" t="n">
        <x:v>20</x:v>
      </x:c>
      <x:c r="I22" s="32" t="str">
        <x:v>Operativo</x:v>
      </x:c>
      <x:c r="J22" s="33" t="n">
        <x:v>45830</x:v>
      </x:c>
      <x:c r="K22" s="33" t="n">
        <x:v>46926</x:v>
      </x:c>
      <x:c r="L22" s="33" t="str">
        <x:f>IF(K22&gt;=DATE(2026,9,1),"VIGENTE","VENCIDA")</x:f>
        <x:v>VIGENTE</x:v>
      </x:c>
      <x:c r="M22" s="33" t="n">
        <x:v>46252</x:v>
      </x:c>
      <x:c r="N22" s="34" t="str">
        <x:f>IF(COUNTIF($A$5:$A$34,A22)&gt;1,"REVISAR","ÚNICO")</x:f>
        <x:v>ÚNICO</x:v>
      </x:c>
    </x:row>
    <x:row r="23">
      <x:c r="A23" s="31" t="str">
        <x:v>AST-0019</x:v>
      </x:c>
      <x:c r="B23" s="32" t="str">
        <x:v>Switch</x:v>
      </x:c>
      <x:c r="C23" s="32" t="str">
        <x:v>Cisco CBS</x:v>
      </x:c>
      <x:c r="D23" s="32" t="str">
        <x:v>SN-DEMO-10018</x:v>
      </x:c>
      <x:c r="E23" s="32" t="str">
        <x:v>TI</x:v>
      </x:c>
      <x:c r="F23" s="32" t="str">
        <x:v>Almacén TI</x:v>
      </x:c>
      <x:c r="G23" s="32" t="str">
        <x:v>10.30.1.38</x:v>
      </x:c>
      <x:c r="H23" s="32" t="n">
        <x:v>30</x:v>
      </x:c>
      <x:c r="I23" s="32" t="str">
        <x:v>Reserva</x:v>
      </x:c>
      <x:c r="J23" s="33" t="n">
        <x:v>45496</x:v>
      </x:c>
      <x:c r="K23" s="33" t="n">
        <x:v>46226</x:v>
      </x:c>
      <x:c r="L23" s="33" t="str">
        <x:f>IF(K23&gt;=DATE(2026,9,1),"VIGENTE","VENCIDA")</x:f>
        <x:v>VENCIDA</x:v>
      </x:c>
      <x:c r="M23" s="33" t="n">
        <x:v>46253</x:v>
      </x:c>
      <x:c r="N23" s="34" t="str">
        <x:f>IF(COUNTIF($A$5:$A$34,A23)&gt;1,"REVISAR","ÚNICO")</x:f>
        <x:v>ÚNICO</x:v>
      </x:c>
    </x:row>
    <x:row r="24">
      <x:c r="A24" s="31" t="str">
        <x:v>AST-0020</x:v>
      </x:c>
      <x:c r="B24" s="32" t="str">
        <x:v>Cámara CCTV</x:v>
      </x:c>
      <x:c r="C24" s="32" t="str">
        <x:v>Hikvision DS</x:v>
      </x:c>
      <x:c r="D24" s="32" t="str">
        <x:v>SN-DEMO-10019</x:v>
      </x:c>
      <x:c r="E24" s="32" t="str">
        <x:v>Almacén</x:v>
      </x:c>
      <x:c r="F24" s="32" t="str">
        <x:v>Almacén TI</x:v>
      </x:c>
      <x:c r="G24" s="32" t="str">
        <x:v>10.40.1.39</x:v>
      </x:c>
      <x:c r="H24" s="32" t="n">
        <x:v>40</x:v>
      </x:c>
      <x:c r="I24" s="32" t="str">
        <x:v>Mantenimiento</x:v>
      </x:c>
      <x:c r="J24" s="33" t="n">
        <x:v>45893</x:v>
      </x:c>
      <x:c r="K24" s="33" t="n">
        <x:v>46623</x:v>
      </x:c>
      <x:c r="L24" s="33" t="str">
        <x:f>IF(K24&gt;=DATE(2026,9,1),"VIGENTE","VENCIDA")</x:f>
        <x:v>VIGENTE</x:v>
      </x:c>
      <x:c r="M24" s="33" t="n">
        <x:v>46254</x:v>
      </x:c>
      <x:c r="N24" s="34" t="str">
        <x:f>IF(COUNTIF($A$5:$A$34,A24)&gt;1,"REVISAR","ÚNICO")</x:f>
        <x:v>ÚNICO</x:v>
      </x:c>
    </x:row>
    <x:row r="25">
      <x:c r="A25" s="31" t="str">
        <x:v>AST-0021</x:v>
      </x:c>
      <x:c r="B25" s="32" t="str">
        <x:v>Laptop</x:v>
      </x:c>
      <x:c r="C25" s="32" t="str">
        <x:v>Dell Latitude</x:v>
      </x:c>
      <x:c r="D25" s="32" t="str">
        <x:v>SN-DEMO-10020</x:v>
      </x:c>
      <x:c r="E25" s="32" t="str">
        <x:v>Administración</x:v>
      </x:c>
      <x:c r="F25" s="32" t="str">
        <x:v>Usuario 21</x:v>
      </x:c>
      <x:c r="G25" s="32" t="str">
        <x:v>10.10.1.40</x:v>
      </x:c>
      <x:c r="H25" s="32" t="n">
        <x:v>10</x:v>
      </x:c>
      <x:c r="I25" s="32" t="str">
        <x:v>Operativo</x:v>
      </x:c>
      <x:c r="J25" s="33" t="n">
        <x:v>45540</x:v>
      </x:c>
      <x:c r="K25" s="33" t="n">
        <x:v>47001</x:v>
      </x:c>
      <x:c r="L25" s="33" t="str">
        <x:f>IF(K25&gt;=DATE(2026,9,1),"VIGENTE","VENCIDA")</x:f>
        <x:v>VIGENTE</x:v>
      </x:c>
      <x:c r="M25" s="33" t="n">
        <x:v>46255</x:v>
      </x:c>
      <x:c r="N25" s="34" t="str">
        <x:f>IF(COUNTIF($A$5:$A$34,A25)&gt;1,"REVISAR","ÚNICO")</x:f>
        <x:v>ÚNICO</x:v>
      </x:c>
    </x:row>
    <x:row r="26">
      <x:c r="A26" s="31" t="str">
        <x:v>AST-0022</x:v>
      </x:c>
      <x:c r="B26" s="32" t="str">
        <x:v>Desktop</x:v>
      </x:c>
      <x:c r="C26" s="32" t="str">
        <x:v>HP ProDesk</x:v>
      </x:c>
      <x:c r="D26" s="32" t="str">
        <x:v>SN-DEMO-10021</x:v>
      </x:c>
      <x:c r="E26" s="32" t="str">
        <x:v>Clínica</x:v>
      </x:c>
      <x:c r="F26" s="32" t="str">
        <x:v>Usuario 22</x:v>
      </x:c>
      <x:c r="G26" s="32" t="str">
        <x:v>10.20.1.41</x:v>
      </x:c>
      <x:c r="H26" s="32" t="n">
        <x:v>20</x:v>
      </x:c>
      <x:c r="I26" s="32" t="str">
        <x:v>Operativo</x:v>
      </x:c>
      <x:c r="J26" s="33" t="n">
        <x:v>45936</x:v>
      </x:c>
      <x:c r="K26" s="33" t="n">
        <x:v>46301</x:v>
      </x:c>
      <x:c r="L26" s="33" t="str">
        <x:f>IF(K26&gt;=DATE(2026,9,1),"VIGENTE","VENCIDA")</x:f>
        <x:v>VIGENTE</x:v>
      </x:c>
      <x:c r="M26" s="33" t="n">
        <x:v>46256</x:v>
      </x:c>
      <x:c r="N26" s="34" t="str">
        <x:f>IF(COUNTIF($A$5:$A$34,A26)&gt;1,"REVISAR","ÚNICO")</x:f>
        <x:v>ÚNICO</x:v>
      </x:c>
    </x:row>
    <x:row r="27">
      <x:c r="A27" s="31" t="str">
        <x:v>AST-0023</x:v>
      </x:c>
      <x:c r="B27" s="32" t="str">
        <x:v>Switch</x:v>
      </x:c>
      <x:c r="C27" s="32" t="str">
        <x:v>Cisco CBS</x:v>
      </x:c>
      <x:c r="D27" s="32" t="str">
        <x:v>SN-DEMO-10022</x:v>
      </x:c>
      <x:c r="E27" s="32" t="str">
        <x:v>Recepción</x:v>
      </x:c>
      <x:c r="F27" s="32" t="str">
        <x:v>Almacén TI</x:v>
      </x:c>
      <x:c r="G27" s="32" t="str">
        <x:v>10.30.1.42</x:v>
      </x:c>
      <x:c r="H27" s="32" t="n">
        <x:v>30</x:v>
      </x:c>
      <x:c r="I27" s="32" t="str">
        <x:v>Operativo</x:v>
      </x:c>
      <x:c r="J27" s="33" t="n">
        <x:v>45603</x:v>
      </x:c>
      <x:c r="K27" s="33" t="n">
        <x:v>46698</x:v>
      </x:c>
      <x:c r="L27" s="33" t="str">
        <x:f>IF(K27&gt;=DATE(2026,9,1),"VIGENTE","VENCIDA")</x:f>
        <x:v>VIGENTE</x:v>
      </x:c>
      <x:c r="M27" s="33" t="n">
        <x:v>46257</x:v>
      </x:c>
      <x:c r="N27" s="34" t="str">
        <x:f>IF(COUNTIF($A$5:$A$34,A27)&gt;1,"REVISAR","ÚNICO")</x:f>
        <x:v>ÚNICO</x:v>
      </x:c>
    </x:row>
    <x:row r="28">
      <x:c r="A28" s="31" t="str">
        <x:v>AST-0024</x:v>
      </x:c>
      <x:c r="B28" s="32" t="str">
        <x:v>Cámara CCTV</x:v>
      </x:c>
      <x:c r="C28" s="32" t="str">
        <x:v>Hikvision DS</x:v>
      </x:c>
      <x:c r="D28" s="32" t="str">
        <x:v>SN-DEMO-10023</x:v>
      </x:c>
      <x:c r="E28" s="32" t="str">
        <x:v>TI</x:v>
      </x:c>
      <x:c r="F28" s="32" t="str">
        <x:v>Almacén TI</x:v>
      </x:c>
      <x:c r="G28" s="32" t="str">
        <x:v>10.40.1.43</x:v>
      </x:c>
      <x:c r="H28" s="32" t="n">
        <x:v>40</x:v>
      </x:c>
      <x:c r="I28" s="32" t="str">
        <x:v>Reserva</x:v>
      </x:c>
      <x:c r="J28" s="33" t="n">
        <x:v>45999</x:v>
      </x:c>
      <x:c r="K28" s="33" t="n">
        <x:v>47095</x:v>
      </x:c>
      <x:c r="L28" s="33" t="str">
        <x:f>IF(K28&gt;=DATE(2026,9,1),"VIGENTE","VENCIDA")</x:f>
        <x:v>VIGENTE</x:v>
      </x:c>
      <x:c r="M28" s="33" t="n">
        <x:v>46258</x:v>
      </x:c>
      <x:c r="N28" s="34" t="str">
        <x:f>IF(COUNTIF($A$5:$A$34,A28)&gt;1,"REVISAR","ÚNICO")</x:f>
        <x:v>ÚNICO</x:v>
      </x:c>
    </x:row>
    <x:row r="29">
      <x:c r="A29" s="31" t="str">
        <x:v>AST-0025</x:v>
      </x:c>
      <x:c r="B29" s="32" t="str">
        <x:v>Laptop</x:v>
      </x:c>
      <x:c r="C29" s="32" t="str">
        <x:v>Dell Latitude</x:v>
      </x:c>
      <x:c r="D29" s="32" t="str">
        <x:v>SN-DEMO-10024</x:v>
      </x:c>
      <x:c r="E29" s="32" t="str">
        <x:v>Almacén</x:v>
      </x:c>
      <x:c r="F29" s="32" t="str">
        <x:v>Almacén TI</x:v>
      </x:c>
      <x:c r="G29" s="32" t="str">
        <x:v>10.10.1.44</x:v>
      </x:c>
      <x:c r="H29" s="32" t="n">
        <x:v>10</x:v>
      </x:c>
      <x:c r="I29" s="32" t="str">
        <x:v>Mantenimiento</x:v>
      </x:c>
      <x:c r="J29" s="33" t="n">
        <x:v>45300</x:v>
      </x:c>
      <x:c r="K29" s="33" t="n">
        <x:v>46031</x:v>
      </x:c>
      <x:c r="L29" s="33" t="str">
        <x:f>IF(K29&gt;=DATE(2026,9,1),"VIGENTE","VENCIDA")</x:f>
        <x:v>VENCIDA</x:v>
      </x:c>
      <x:c r="M29" s="33" t="n">
        <x:v>46259</x:v>
      </x:c>
      <x:c r="N29" s="34" t="str">
        <x:f>IF(COUNTIF($A$5:$A$34,A29)&gt;1,"REVISAR","ÚNICO")</x:f>
        <x:v>ÚNICO</x:v>
      </x:c>
    </x:row>
    <x:row r="30">
      <x:c r="A30" s="31" t="str">
        <x:v>AST-0026</x:v>
      </x:c>
      <x:c r="B30" s="32" t="str">
        <x:v>Desktop</x:v>
      </x:c>
      <x:c r="C30" s="32" t="str">
        <x:v>HP ProDesk</x:v>
      </x:c>
      <x:c r="D30" s="32" t="str">
        <x:v>SN-DEMO-10025</x:v>
      </x:c>
      <x:c r="E30" s="32" t="str">
        <x:v>Administración</x:v>
      </x:c>
      <x:c r="F30" s="32" t="str">
        <x:v>Usuario 26</x:v>
      </x:c>
      <x:c r="G30" s="32" t="str">
        <x:v>10.20.1.45</x:v>
      </x:c>
      <x:c r="H30" s="32" t="n">
        <x:v>20</x:v>
      </x:c>
      <x:c r="I30" s="32" t="str">
        <x:v>Operativo</x:v>
      </x:c>
      <x:c r="J30" s="33" t="n">
        <x:v>45698</x:v>
      </x:c>
      <x:c r="K30" s="33" t="n">
        <x:v>46428</x:v>
      </x:c>
      <x:c r="L30" s="33" t="str">
        <x:f>IF(K30&gt;=DATE(2026,9,1),"VIGENTE","VENCIDA")</x:f>
        <x:v>VIGENTE</x:v>
      </x:c>
      <x:c r="M30" s="33" t="n">
        <x:v>46235</x:v>
      </x:c>
      <x:c r="N30" s="34" t="str">
        <x:f>IF(COUNTIF($A$5:$A$34,A30)&gt;1,"REVISAR","ÚNICO")</x:f>
        <x:v>ÚNICO</x:v>
      </x:c>
    </x:row>
    <x:row r="31">
      <x:c r="A31" s="31" t="str">
        <x:v>AST-0027</x:v>
      </x:c>
      <x:c r="B31" s="32" t="str">
        <x:v>Switch</x:v>
      </x:c>
      <x:c r="C31" s="32" t="str">
        <x:v>Cisco CBS</x:v>
      </x:c>
      <x:c r="D31" s="32" t="str">
        <x:v>SN-DEMO-10026</x:v>
      </x:c>
      <x:c r="E31" s="32" t="str">
        <x:v>Clínica</x:v>
      </x:c>
      <x:c r="F31" s="32" t="str">
        <x:v>Almacén TI</x:v>
      </x:c>
      <x:c r="G31" s="32" t="str">
        <x:v>10.30.1.46</x:v>
      </x:c>
      <x:c r="H31" s="32" t="n">
        <x:v>30</x:v>
      </x:c>
      <x:c r="I31" s="32" t="str">
        <x:v>Operativo</x:v>
      </x:c>
      <x:c r="J31" s="33" t="n">
        <x:v>45362</x:v>
      </x:c>
      <x:c r="K31" s="33" t="n">
        <x:v>46823</x:v>
      </x:c>
      <x:c r="L31" s="33" t="str">
        <x:f>IF(K31&gt;=DATE(2026,9,1),"VIGENTE","VENCIDA")</x:f>
        <x:v>VIGENTE</x:v>
      </x:c>
      <x:c r="M31" s="33" t="n">
        <x:v>46236</x:v>
      </x:c>
      <x:c r="N31" s="34" t="str">
        <x:f>IF(COUNTIF($A$5:$A$34,A31)&gt;1,"REVISAR","ÚNICO")</x:f>
        <x:v>ÚNICO</x:v>
      </x:c>
    </x:row>
    <x:row r="32">
      <x:c r="A32" s="31" t="str">
        <x:v>AST-0028</x:v>
      </x:c>
      <x:c r="B32" s="32" t="str">
        <x:v>Cámara CCTV</x:v>
      </x:c>
      <x:c r="C32" s="32" t="str">
        <x:v>Hikvision DS</x:v>
      </x:c>
      <x:c r="D32" s="32" t="str">
        <x:v>SN-DEMO-10027</x:v>
      </x:c>
      <x:c r="E32" s="32" t="str">
        <x:v>Recepción</x:v>
      </x:c>
      <x:c r="F32" s="32" t="str">
        <x:v>Almacén TI</x:v>
      </x:c>
      <x:c r="G32" s="32" t="str">
        <x:v>10.40.1.47</x:v>
      </x:c>
      <x:c r="H32" s="32" t="n">
        <x:v>40</x:v>
      </x:c>
      <x:c r="I32" s="32" t="str">
        <x:v>Operativo</x:v>
      </x:c>
      <x:c r="J32" s="33" t="n">
        <x:v>45759</x:v>
      </x:c>
      <x:c r="K32" s="33" t="n">
        <x:v>46124</x:v>
      </x:c>
      <x:c r="L32" s="33" t="str">
        <x:f>IF(K32&gt;=DATE(2026,9,1),"VIGENTE","VENCIDA")</x:f>
        <x:v>VENCIDA</x:v>
      </x:c>
      <x:c r="M32" s="33" t="n">
        <x:v>46237</x:v>
      </x:c>
      <x:c r="N32" s="34" t="str">
        <x:f>IF(COUNTIF($A$5:$A$34,A32)&gt;1,"REVISAR","ÚNICO")</x:f>
        <x:v>ÚNICO</x:v>
      </x:c>
    </x:row>
    <x:row r="33">
      <x:c r="A33" s="31" t="str">
        <x:v>AST-0029</x:v>
      </x:c>
      <x:c r="B33" s="32" t="str">
        <x:v>Laptop</x:v>
      </x:c>
      <x:c r="C33" s="32" t="str">
        <x:v>Dell Latitude</x:v>
      </x:c>
      <x:c r="D33" s="32" t="str">
        <x:v>SN-DEMO-10028</x:v>
      </x:c>
      <x:c r="E33" s="32" t="str">
        <x:v>TI</x:v>
      </x:c>
      <x:c r="F33" s="32" t="str">
        <x:v>Usuario 29</x:v>
      </x:c>
      <x:c r="G33" s="32" t="str">
        <x:v>10.10.1.48</x:v>
      </x:c>
      <x:c r="H33" s="32" t="n">
        <x:v>10</x:v>
      </x:c>
      <x:c r="I33" s="32" t="str">
        <x:v>Reserva</x:v>
      </x:c>
      <x:c r="J33" s="33" t="n">
        <x:v>45425</x:v>
      </x:c>
      <x:c r="K33" s="33" t="n">
        <x:v>46520</x:v>
      </x:c>
      <x:c r="L33" s="33" t="str">
        <x:f>IF(K33&gt;=DATE(2026,9,1),"VIGENTE","VENCIDA")</x:f>
        <x:v>VIGENTE</x:v>
      </x:c>
      <x:c r="M33" s="33" t="n">
        <x:v>46238</x:v>
      </x:c>
      <x:c r="N33" s="34" t="str">
        <x:f>IF(COUNTIF($A$5:$A$34,A33)&gt;1,"REVISAR","ÚNICO")</x:f>
        <x:v>ÚNICO</x:v>
      </x:c>
    </x:row>
    <x:row r="34">
      <x:c r="A34" s="35" t="str">
        <x:v>AST-0030</x:v>
      </x:c>
      <x:c r="B34" s="36" t="str">
        <x:v>Desktop</x:v>
      </x:c>
      <x:c r="C34" s="36" t="str">
        <x:v>HP ProDesk</x:v>
      </x:c>
      <x:c r="D34" s="36" t="str">
        <x:v>SN-DEMO-10029</x:v>
      </x:c>
      <x:c r="E34" s="36" t="str">
        <x:v>Almacén</x:v>
      </x:c>
      <x:c r="F34" s="36" t="str">
        <x:v>Usuario 30</x:v>
      </x:c>
      <x:c r="G34" s="36" t="str">
        <x:v>10.20.1.49</x:v>
      </x:c>
      <x:c r="H34" s="36" t="n">
        <x:v>20</x:v>
      </x:c>
      <x:c r="I34" s="36" t="str">
        <x:v>Mantenimiento</x:v>
      </x:c>
      <x:c r="J34" s="37" t="n">
        <x:v>45822</x:v>
      </x:c>
      <x:c r="K34" s="37" t="n">
        <x:v>46918</x:v>
      </x:c>
      <x:c r="L34" s="37" t="str">
        <x:f>IF(K34&gt;=DATE(2026,9,1),"VIGENTE","VENCIDA")</x:f>
        <x:v>VIGENTE</x:v>
      </x:c>
      <x:c r="M34" s="37" t="n">
        <x:v>46239</x:v>
      </x:c>
      <x:c r="N34" s="38" t="str">
        <x:f>IF(COUNTIF($A$5:$A$34,A34)&gt;1,"REVISAR","ÚNICO")</x:f>
        <x:v>ÚNICO</x:v>
      </x:c>
    </x:row>
  </x:sheetData>
  <x:mergeCells>
    <x:mergeCell ref="A1:N1"/>
    <x:mergeCell ref="A2:N2"/>
  </x:mergeCells>
  <x:conditionalFormatting sqref="L5:L100">
    <x:cfRule type="containsText" dxfId="0" priority="1" operator="containsText" text="VENCIDA"/>
  </x:conditionalFormatting>
  <x:conditionalFormatting sqref="N5:N100">
    <x:cfRule type="containsText" dxfId="1" priority="2" operator="containsText" text="REVISAR"/>
  </x:conditionalFormatting>
  <x:dataValidations count="2">
    <x:dataValidation type="list" sqref="B5:B100">
      <x:formula1>Catalogos!$F$4:$F$7</x:formula1>
    </x:dataValidation>
    <x:dataValidation type="list" sqref="I5:I100">
      <x:formula1>Catalogos!$H$4:$H$7</x:formula1>
    </x:dataValidation>
  </x:dataValidations>
  <x:pageMargins left="0.7" right="0.7" top="0.75" bottom="0.75" header="0.3" footer="0.3"/>
  <x:legacyDrawing xmlns:r="http://schemas.openxmlformats.org/officeDocument/2006/relationships" r:id="R35b295d8022e4481"/>
  <x:tableParts count="1">
    <x:tablePart xmlns:r="http://schemas.openxmlformats.org/officeDocument/2006/relationships" r:id="Ra5ecf37fbfec441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9" hidden="0" customWidth="1"/>
    <x:col min="3" max="3" width="17" hidden="0" customWidth="1"/>
    <x:col min="4" max="4" width="17" hidden="0" customWidth="1"/>
    <x:col min="5" max="5" width="3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34" customHeight="1">
      <x:c r="A1" s="3" t="str">
        <x:v>HELPDESK / CRM SIMULADO - CONTROL DE INCIDENCIAS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2" customHeight="1">
      <x:c r="A2" s="18" t="str">
        <x:v>Mesa de servicio ficticia para demostrar clasificación, priorización, SLA, seguimiento y documentación de soporte.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</x:row>
    <x:row r="4" ht="32" customHeight="1">
      <x:c r="A4" s="20" t="str">
        <x:v>Ticket</x:v>
      </x:c>
      <x:c r="B4" s="21" t="str">
        <x:v>Fecha apertura</x:v>
      </x:c>
      <x:c r="C4" s="21" t="str">
        <x:v>Usuario</x:v>
      </x:c>
      <x:c r="D4" s="21" t="str">
        <x:v>Categoría</x:v>
      </x:c>
      <x:c r="E4" s="21" t="str">
        <x:v>Descripción</x:v>
      </x:c>
      <x:c r="F4" s="21" t="str">
        <x:v>Prioridad</x:v>
      </x:c>
      <x:c r="G4" s="21" t="str">
        <x:v>Estado</x:v>
      </x:c>
      <x:c r="H4" s="21" t="str">
        <x:v>Activo ID</x:v>
      </x:c>
      <x:c r="I4" s="21" t="str">
        <x:v>Horas solución</x:v>
      </x:c>
      <x:c r="J4" s="21" t="str">
        <x:v>SLA objetivo</x:v>
      </x:c>
      <x:c r="K4" s="21" t="str">
        <x:v>Cumple SLA</x:v>
      </x:c>
      <x:c r="L4" s="21" t="str">
        <x:v>Canal</x:v>
      </x:c>
      <x:c r="M4" s="22" t="str">
        <x:v>Evidencia</x:v>
      </x:c>
    </x:row>
    <x:row r="5">
      <x:c r="A5" s="31" t="str">
        <x:v>INC-0001</x:v>
      </x:c>
      <x:c r="B5" s="42" t="n">
        <x:v>46235.375</x:v>
      </x:c>
      <x:c r="C5" s="32" t="str">
        <x:v>Usuario 01</x:v>
      </x:c>
      <x:c r="D5" s="32" t="str">
        <x:v>Hardware</x:v>
      </x:c>
      <x:c r="E5" s="32" t="str">
        <x:v>Caso ficticio de hardware para validación del flujo</x:v>
      </x:c>
      <x:c r="F5" s="32" t="str">
        <x:v>Media</x:v>
      </x:c>
      <x:c r="G5" s="32" t="str">
        <x:v>Resuelto</x:v>
      </x:c>
      <x:c r="H5" s="32" t="str">
        <x:v>AST-0001</x:v>
      </x:c>
      <x:c r="I5" s="32" t="n">
        <x:v>8</x:v>
      </x:c>
      <x:c r="J5" s="32" t="n">
        <x:f>IF(F5="Crítica",'Catalogos'!$B$4,IF(F5="Alta",'Catalogos'!$B$5,IF(F5="Media",'Catalogos'!$B$6,IF(F5="Baja",'Catalogos'!$B$7,'Catalogos'!$B$8))))</x:f>
        <x:v>8</x:v>
      </x:c>
      <x:c r="K5" s="32" t="str">
        <x:f>IF(I5&lt;=J5,"SÍ","NO")</x:f>
        <x:v>SÍ</x:v>
      </x:c>
      <x:c r="L5" s="32" t="str">
        <x:v>Presencial</x:v>
      </x:c>
      <x:c r="M5" s="34" t="str">
        <x:v>Bitácora 1</x:v>
      </x:c>
    </x:row>
    <x:row r="6">
      <x:c r="A6" s="31" t="str">
        <x:v>INC-0002</x:v>
      </x:c>
      <x:c r="B6" s="42" t="n">
        <x:v>46235.385416666664</x:v>
      </x:c>
      <x:c r="C6" s="32" t="str">
        <x:v>Usuario 02</x:v>
      </x:c>
      <x:c r="D6" s="32" t="str">
        <x:v>Software</x:v>
      </x:c>
      <x:c r="E6" s="32" t="str">
        <x:v>Caso ficticio de software para validación del flujo</x:v>
      </x:c>
      <x:c r="F6" s="32" t="str">
        <x:v>Baja</x:v>
      </x:c>
      <x:c r="G6" s="32" t="str">
        <x:v>Cerrado</x:v>
      </x:c>
      <x:c r="H6" s="32" t="str">
        <x:v>AST-0002</x:v>
      </x:c>
      <x:c r="I6" s="32" t="n">
        <x:v>23</x:v>
      </x:c>
      <x:c r="J6" s="32" t="n">
        <x:f>IF(F6="Crítica",'Catalogos'!$B$4,IF(F6="Alta",'Catalogos'!$B$5,IF(F6="Media",'Catalogos'!$B$6,IF(F6="Baja",'Catalogos'!$B$7,'Catalogos'!$B$8))))</x:f>
        <x:v>24</x:v>
      </x:c>
      <x:c r="K6" s="32" t="str">
        <x:f>IF(I6&lt;=J6,"SÍ","NO")</x:f>
        <x:v>SÍ</x:v>
      </x:c>
      <x:c r="L6" s="32" t="str">
        <x:v>Remoto</x:v>
      </x:c>
      <x:c r="M6" s="34" t="str">
        <x:v>Bitácora 2</x:v>
      </x:c>
    </x:row>
    <x:row r="7">
      <x:c r="A7" s="31" t="str">
        <x:v>INC-0003</x:v>
      </x:c>
      <x:c r="B7" s="42" t="n">
        <x:v>46235.395833333336</x:v>
      </x:c>
      <x:c r="C7" s="32" t="str">
        <x:v>Usuario 03</x:v>
      </x:c>
      <x:c r="D7" s="32" t="str">
        <x:v>Red</x:v>
      </x:c>
      <x:c r="E7" s="32" t="str">
        <x:v>Caso ficticio de red para validación del flujo</x:v>
      </x:c>
      <x:c r="F7" s="32" t="str">
        <x:v>Alta</x:v>
      </x:c>
      <x:c r="G7" s="32" t="str">
        <x:v>Resuelto</x:v>
      </x:c>
      <x:c r="H7" s="32" t="str">
        <x:v>AST-0003</x:v>
      </x:c>
      <x:c r="I7" s="32" t="n">
        <x:v>2</x:v>
      </x:c>
      <x:c r="J7" s="32" t="n">
        <x:f>IF(F7="Crítica",'Catalogos'!$B$4,IF(F7="Alta",'Catalogos'!$B$5,IF(F7="Media",'Catalogos'!$B$6,IF(F7="Baja",'Catalogos'!$B$7,'Catalogos'!$B$8))))</x:f>
        <x:v>4</x:v>
      </x:c>
      <x:c r="K7" s="32" t="str">
        <x:f>IF(I7&lt;=J7,"SÍ","NO")</x:f>
        <x:v>SÍ</x:v>
      </x:c>
      <x:c r="L7" s="32" t="str">
        <x:v>Teléfono</x:v>
      </x:c>
      <x:c r="M7" s="34" t="str">
        <x:v>Bitácora 3</x:v>
      </x:c>
    </x:row>
    <x:row r="8">
      <x:c r="A8" s="31" t="str">
        <x:v>INC-0004</x:v>
      </x:c>
      <x:c r="B8" s="42" t="n">
        <x:v>46236.375</x:v>
      </x:c>
      <x:c r="C8" s="32" t="str">
        <x:v>Usuario 04</x:v>
      </x:c>
      <x:c r="D8" s="32" t="str">
        <x:v>Cuenta de usuario</x:v>
      </x:c>
      <x:c r="E8" s="32" t="str">
        <x:v>Caso ficticio de cuenta de usuario para validación del flujo</x:v>
      </x:c>
      <x:c r="F8" s="32" t="str">
        <x:v>Media</x:v>
      </x:c>
      <x:c r="G8" s="32" t="str">
        <x:v>En progreso</x:v>
      </x:c>
      <x:c r="H8" s="32" t="str">
        <x:v>AST-0004</x:v>
      </x:c>
      <x:c r="I8" s="32" t="n">
        <x:v>5</x:v>
      </x:c>
      <x:c r="J8" s="32" t="n">
        <x:f>IF(F8="Crítica",'Catalogos'!$B$4,IF(F8="Alta",'Catalogos'!$B$5,IF(F8="Media",'Catalogos'!$B$6,IF(F8="Baja",'Catalogos'!$B$7,'Catalogos'!$B$8))))</x:f>
        <x:v>8</x:v>
      </x:c>
      <x:c r="K8" s="32" t="str">
        <x:f>IF(I8&lt;=J8,"SÍ","NO")</x:f>
        <x:v>SÍ</x:v>
      </x:c>
      <x:c r="L8" s="32" t="str">
        <x:v>Helpdesk</x:v>
      </x:c>
      <x:c r="M8" s="34" t="str">
        <x:v>Bitácora 4</x:v>
      </x:c>
    </x:row>
    <x:row r="9">
      <x:c r="A9" s="31" t="str">
        <x:v>INC-0005</x:v>
      </x:c>
      <x:c r="B9" s="42" t="n">
        <x:v>46236.385416666664</x:v>
      </x:c>
      <x:c r="C9" s="32" t="str">
        <x:v>Usuario 05</x:v>
      </x:c>
      <x:c r="D9" s="32" t="str">
        <x:v>ERP</x:v>
      </x:c>
      <x:c r="E9" s="32" t="str">
        <x:v>Caso ficticio de erp para validación del flujo</x:v>
      </x:c>
      <x:c r="F9" s="32" t="str">
        <x:v>Solicitud</x:v>
      </x:c>
      <x:c r="G9" s="32" t="str">
        <x:v>Abierto</x:v>
      </x:c>
      <x:c r="H9" s="32" t="str">
        <x:v>AST-0005</x:v>
      </x:c>
      <x:c r="I9" s="32" t="n">
        <x:v>48</x:v>
      </x:c>
      <x:c r="J9" s="32" t="n">
        <x:f>IF(F9="Crítica",'Catalogos'!$B$4,IF(F9="Alta",'Catalogos'!$B$5,IF(F9="Media",'Catalogos'!$B$6,IF(F9="Baja",'Catalogos'!$B$7,'Catalogos'!$B$8))))</x:f>
        <x:v>48</x:v>
      </x:c>
      <x:c r="K9" s="32" t="str">
        <x:f>IF(I9&lt;=J9,"SÍ","NO")</x:f>
        <x:v>SÍ</x:v>
      </x:c>
      <x:c r="L9" s="32" t="str">
        <x:v>Presencial</x:v>
      </x:c>
      <x:c r="M9" s="34" t="str">
        <x:v>Bitácora 5</x:v>
      </x:c>
    </x:row>
    <x:row r="10">
      <x:c r="A10" s="31" t="str">
        <x:v>INC-0006</x:v>
      </x:c>
      <x:c r="B10" s="42" t="n">
        <x:v>46236.395833333336</x:v>
      </x:c>
      <x:c r="C10" s="32" t="str">
        <x:v>Usuario 06</x:v>
      </x:c>
      <x:c r="D10" s="32" t="str">
        <x:v>CCTV</x:v>
      </x:c>
      <x:c r="E10" s="32" t="str">
        <x:v>Caso ficticio de cctv para validación del flujo</x:v>
      </x:c>
      <x:c r="F10" s="32" t="str">
        <x:v>Crítica</x:v>
      </x:c>
      <x:c r="G10" s="32" t="str">
        <x:v>Resuelto</x:v>
      </x:c>
      <x:c r="H10" s="32" t="str">
        <x:v>AST-0006</x:v>
      </x:c>
      <x:c r="I10" s="32" t="n">
        <x:v>1</x:v>
      </x:c>
      <x:c r="J10" s="32" t="n">
        <x:f>IF(F10="Crítica",'Catalogos'!$B$4,IF(F10="Alta",'Catalogos'!$B$5,IF(F10="Media",'Catalogos'!$B$6,IF(F10="Baja",'Catalogos'!$B$7,'Catalogos'!$B$8))))</x:f>
        <x:v>2</x:v>
      </x:c>
      <x:c r="K10" s="32" t="str">
        <x:f>IF(I10&lt;=J10,"SÍ","NO")</x:f>
        <x:v>SÍ</x:v>
      </x:c>
      <x:c r="L10" s="32" t="str">
        <x:v>Remoto</x:v>
      </x:c>
      <x:c r="M10" s="34" t="str">
        <x:v>Bitácora 6</x:v>
      </x:c>
    </x:row>
    <x:row r="11">
      <x:c r="A11" s="31" t="str">
        <x:v>INC-0007</x:v>
      </x:c>
      <x:c r="B11" s="42" t="n">
        <x:v>46237.375</x:v>
      </x:c>
      <x:c r="C11" s="32" t="str">
        <x:v>Usuario 07</x:v>
      </x:c>
      <x:c r="D11" s="32" t="str">
        <x:v>Hardware</x:v>
      </x:c>
      <x:c r="E11" s="32" t="str">
        <x:v>Caso ficticio de hardware para validación del flujo</x:v>
      </x:c>
      <x:c r="F11" s="32" t="str">
        <x:v>Media</x:v>
      </x:c>
      <x:c r="G11" s="32" t="str">
        <x:v>Resuelto</x:v>
      </x:c>
      <x:c r="H11" s="32" t="str">
        <x:v>AST-0007</x:v>
      </x:c>
      <x:c r="I11" s="32" t="n">
        <x:v>6</x:v>
      </x:c>
      <x:c r="J11" s="32" t="n">
        <x:f>IF(F11="Crítica",'Catalogos'!$B$4,IF(F11="Alta",'Catalogos'!$B$5,IF(F11="Media",'Catalogos'!$B$6,IF(F11="Baja",'Catalogos'!$B$7,'Catalogos'!$B$8))))</x:f>
        <x:v>8</x:v>
      </x:c>
      <x:c r="K11" s="32" t="str">
        <x:f>IF(I11&lt;=J11,"SÍ","NO")</x:f>
        <x:v>SÍ</x:v>
      </x:c>
      <x:c r="L11" s="32" t="str">
        <x:v>Teléfono</x:v>
      </x:c>
      <x:c r="M11" s="34" t="str">
        <x:v>Bitácora 7</x:v>
      </x:c>
    </x:row>
    <x:row r="12">
      <x:c r="A12" s="31" t="str">
        <x:v>INC-0008</x:v>
      </x:c>
      <x:c r="B12" s="42" t="n">
        <x:v>46237.385416666664</x:v>
      </x:c>
      <x:c r="C12" s="32" t="str">
        <x:v>Usuario 08</x:v>
      </x:c>
      <x:c r="D12" s="32" t="str">
        <x:v>Software</x:v>
      </x:c>
      <x:c r="E12" s="32" t="str">
        <x:v>Caso ficticio de software para validación del flujo</x:v>
      </x:c>
      <x:c r="F12" s="32" t="str">
        <x:v>Baja</x:v>
      </x:c>
      <x:c r="G12" s="32" t="str">
        <x:v>Cerrado</x:v>
      </x:c>
      <x:c r="H12" s="32" t="str">
        <x:v>AST-0008</x:v>
      </x:c>
      <x:c r="I12" s="32" t="n">
        <x:v>21</x:v>
      </x:c>
      <x:c r="J12" s="32" t="n">
        <x:f>IF(F12="Crítica",'Catalogos'!$B$4,IF(F12="Alta",'Catalogos'!$B$5,IF(F12="Media",'Catalogos'!$B$6,IF(F12="Baja",'Catalogos'!$B$7,'Catalogos'!$B$8))))</x:f>
        <x:v>24</x:v>
      </x:c>
      <x:c r="K12" s="32" t="str">
        <x:f>IF(I12&lt;=J12,"SÍ","NO")</x:f>
        <x:v>SÍ</x:v>
      </x:c>
      <x:c r="L12" s="32" t="str">
        <x:v>Helpdesk</x:v>
      </x:c>
      <x:c r="M12" s="34" t="str">
        <x:v>Bitácora 8</x:v>
      </x:c>
    </x:row>
    <x:row r="13">
      <x:c r="A13" s="31" t="str">
        <x:v>INC-0009</x:v>
      </x:c>
      <x:c r="B13" s="42" t="n">
        <x:v>46237.395833333336</x:v>
      </x:c>
      <x:c r="C13" s="32" t="str">
        <x:v>Usuario 09</x:v>
      </x:c>
      <x:c r="D13" s="32" t="str">
        <x:v>Red</x:v>
      </x:c>
      <x:c r="E13" s="32" t="str">
        <x:v>Caso ficticio de red para validación del flujo</x:v>
      </x:c>
      <x:c r="F13" s="32" t="str">
        <x:v>Alta</x:v>
      </x:c>
      <x:c r="G13" s="32" t="str">
        <x:v>Resuelto</x:v>
      </x:c>
      <x:c r="H13" s="32" t="str">
        <x:v>AST-0009</x:v>
      </x:c>
      <x:c r="I13" s="32" t="n">
        <x:v>7</x:v>
      </x:c>
      <x:c r="J13" s="32" t="n">
        <x:f>IF(F13="Crítica",'Catalogos'!$B$4,IF(F13="Alta",'Catalogos'!$B$5,IF(F13="Media",'Catalogos'!$B$6,IF(F13="Baja",'Catalogos'!$B$7,'Catalogos'!$B$8))))</x:f>
        <x:v>4</x:v>
      </x:c>
      <x:c r="K13" s="32" t="str">
        <x:f>IF(I13&lt;=J13,"SÍ","NO")</x:f>
        <x:v>NO</x:v>
      </x:c>
      <x:c r="L13" s="32" t="str">
        <x:v>Presencial</x:v>
      </x:c>
      <x:c r="M13" s="34" t="str">
        <x:v>Bitácora 9</x:v>
      </x:c>
    </x:row>
    <x:row r="14">
      <x:c r="A14" s="31" t="str">
        <x:v>INC-0010</x:v>
      </x:c>
      <x:c r="B14" s="42" t="n">
        <x:v>46238.375</x:v>
      </x:c>
      <x:c r="C14" s="32" t="str">
        <x:v>Usuario 10</x:v>
      </x:c>
      <x:c r="D14" s="32" t="str">
        <x:v>Cuenta de usuario</x:v>
      </x:c>
      <x:c r="E14" s="32" t="str">
        <x:v>Caso ficticio de cuenta de usuario para validación del flujo</x:v>
      </x:c>
      <x:c r="F14" s="32" t="str">
        <x:v>Media</x:v>
      </x:c>
      <x:c r="G14" s="32" t="str">
        <x:v>En progreso</x:v>
      </x:c>
      <x:c r="H14" s="32" t="str">
        <x:v>AST-0010</x:v>
      </x:c>
      <x:c r="I14" s="32" t="n">
        <x:v>7</x:v>
      </x:c>
      <x:c r="J14" s="32" t="n">
        <x:f>IF(F14="Crítica",'Catalogos'!$B$4,IF(F14="Alta",'Catalogos'!$B$5,IF(F14="Media",'Catalogos'!$B$6,IF(F14="Baja",'Catalogos'!$B$7,'Catalogos'!$B$8))))</x:f>
        <x:v>8</x:v>
      </x:c>
      <x:c r="K14" s="32" t="str">
        <x:f>IF(I14&lt;=J14,"SÍ","NO")</x:f>
        <x:v>SÍ</x:v>
      </x:c>
      <x:c r="L14" s="32" t="str">
        <x:v>Remoto</x:v>
      </x:c>
      <x:c r="M14" s="34" t="str">
        <x:v>Bitácora 10</x:v>
      </x:c>
    </x:row>
    <x:row r="15">
      <x:c r="A15" s="31" t="str">
        <x:v>INC-0011</x:v>
      </x:c>
      <x:c r="B15" s="42" t="n">
        <x:v>46238.385416666664</x:v>
      </x:c>
      <x:c r="C15" s="32" t="str">
        <x:v>Usuario 11</x:v>
      </x:c>
      <x:c r="D15" s="32" t="str">
        <x:v>ERP</x:v>
      </x:c>
      <x:c r="E15" s="32" t="str">
        <x:v>Caso ficticio de erp para validación del flujo</x:v>
      </x:c>
      <x:c r="F15" s="32" t="str">
        <x:v>Solicitud</x:v>
      </x:c>
      <x:c r="G15" s="32" t="str">
        <x:v>Abierto</x:v>
      </x:c>
      <x:c r="H15" s="32" t="str">
        <x:v>AST-0011</x:v>
      </x:c>
      <x:c r="I15" s="32" t="n">
        <x:v>46</x:v>
      </x:c>
      <x:c r="J15" s="32" t="n">
        <x:f>IF(F15="Crítica",'Catalogos'!$B$4,IF(F15="Alta",'Catalogos'!$B$5,IF(F15="Media",'Catalogos'!$B$6,IF(F15="Baja",'Catalogos'!$B$7,'Catalogos'!$B$8))))</x:f>
        <x:v>48</x:v>
      </x:c>
      <x:c r="K15" s="32" t="str">
        <x:f>IF(I15&lt;=J15,"SÍ","NO")</x:f>
        <x:v>SÍ</x:v>
      </x:c>
      <x:c r="L15" s="32" t="str">
        <x:v>Teléfono</x:v>
      </x:c>
      <x:c r="M15" s="34" t="str">
        <x:v>Bitácora 11</x:v>
      </x:c>
    </x:row>
    <x:row r="16">
      <x:c r="A16" s="31" t="str">
        <x:v>INC-0012</x:v>
      </x:c>
      <x:c r="B16" s="42" t="n">
        <x:v>46238.395833333336</x:v>
      </x:c>
      <x:c r="C16" s="32" t="str">
        <x:v>Usuario 12</x:v>
      </x:c>
      <x:c r="D16" s="32" t="str">
        <x:v>CCTV</x:v>
      </x:c>
      <x:c r="E16" s="32" t="str">
        <x:v>Caso ficticio de cctv para validación del flujo</x:v>
      </x:c>
      <x:c r="F16" s="32" t="str">
        <x:v>Crítica</x:v>
      </x:c>
      <x:c r="G16" s="32" t="str">
        <x:v>Resuelto</x:v>
      </x:c>
      <x:c r="H16" s="32" t="str">
        <x:v>AST-0012</x:v>
      </x:c>
      <x:c r="I16" s="32" t="n">
        <x:v>1</x:v>
      </x:c>
      <x:c r="J16" s="32" t="n">
        <x:f>IF(F16="Crítica",'Catalogos'!$B$4,IF(F16="Alta",'Catalogos'!$B$5,IF(F16="Media",'Catalogos'!$B$6,IF(F16="Baja",'Catalogos'!$B$7,'Catalogos'!$B$8))))</x:f>
        <x:v>2</x:v>
      </x:c>
      <x:c r="K16" s="32" t="str">
        <x:f>IF(I16&lt;=J16,"SÍ","NO")</x:f>
        <x:v>SÍ</x:v>
      </x:c>
      <x:c r="L16" s="32" t="str">
        <x:v>Helpdesk</x:v>
      </x:c>
      <x:c r="M16" s="34" t="str">
        <x:v>Bitácora 12</x:v>
      </x:c>
    </x:row>
    <x:row r="17">
      <x:c r="A17" s="31" t="str">
        <x:v>INC-0013</x:v>
      </x:c>
      <x:c r="B17" s="42" t="n">
        <x:v>46239.375</x:v>
      </x:c>
      <x:c r="C17" s="32" t="str">
        <x:v>Usuario 13</x:v>
      </x:c>
      <x:c r="D17" s="32" t="str">
        <x:v>Hardware</x:v>
      </x:c>
      <x:c r="E17" s="32" t="str">
        <x:v>Caso ficticio de hardware para validación del flujo</x:v>
      </x:c>
      <x:c r="F17" s="32" t="str">
        <x:v>Media</x:v>
      </x:c>
      <x:c r="G17" s="32" t="str">
        <x:v>Resuelto</x:v>
      </x:c>
      <x:c r="H17" s="32" t="str">
        <x:v>AST-0013</x:v>
      </x:c>
      <x:c r="I17" s="32" t="n">
        <x:v>8</x:v>
      </x:c>
      <x:c r="J17" s="32" t="n">
        <x:f>IF(F17="Crítica",'Catalogos'!$B$4,IF(F17="Alta",'Catalogos'!$B$5,IF(F17="Media",'Catalogos'!$B$6,IF(F17="Baja",'Catalogos'!$B$7,'Catalogos'!$B$8))))</x:f>
        <x:v>8</x:v>
      </x:c>
      <x:c r="K17" s="32" t="str">
        <x:f>IF(I17&lt;=J17,"SÍ","NO")</x:f>
        <x:v>SÍ</x:v>
      </x:c>
      <x:c r="L17" s="32" t="str">
        <x:v>Presencial</x:v>
      </x:c>
      <x:c r="M17" s="34" t="str">
        <x:v>Bitácora 13</x:v>
      </x:c>
    </x:row>
    <x:row r="18">
      <x:c r="A18" s="31" t="str">
        <x:v>INC-0014</x:v>
      </x:c>
      <x:c r="B18" s="42" t="n">
        <x:v>46239.385416666664</x:v>
      </x:c>
      <x:c r="C18" s="32" t="str">
        <x:v>Usuario 14</x:v>
      </x:c>
      <x:c r="D18" s="32" t="str">
        <x:v>Software</x:v>
      </x:c>
      <x:c r="E18" s="32" t="str">
        <x:v>Caso ficticio de software para validación del flujo</x:v>
      </x:c>
      <x:c r="F18" s="32" t="str">
        <x:v>Baja</x:v>
      </x:c>
      <x:c r="G18" s="32" t="str">
        <x:v>Cerrado</x:v>
      </x:c>
      <x:c r="H18" s="32" t="str">
        <x:v>AST-0014</x:v>
      </x:c>
      <x:c r="I18" s="32" t="n">
        <x:v>23</x:v>
      </x:c>
      <x:c r="J18" s="32" t="n">
        <x:f>IF(F18="Crítica",'Catalogos'!$B$4,IF(F18="Alta",'Catalogos'!$B$5,IF(F18="Media",'Catalogos'!$B$6,IF(F18="Baja",'Catalogos'!$B$7,'Catalogos'!$B$8))))</x:f>
        <x:v>24</x:v>
      </x:c>
      <x:c r="K18" s="32" t="str">
        <x:f>IF(I18&lt;=J18,"SÍ","NO")</x:f>
        <x:v>SÍ</x:v>
      </x:c>
      <x:c r="L18" s="32" t="str">
        <x:v>Remoto</x:v>
      </x:c>
      <x:c r="M18" s="34" t="str">
        <x:v>Bitácora 14</x:v>
      </x:c>
    </x:row>
    <x:row r="19">
      <x:c r="A19" s="31" t="str">
        <x:v>INC-0015</x:v>
      </x:c>
      <x:c r="B19" s="42" t="n">
        <x:v>46239.395833333336</x:v>
      </x:c>
      <x:c r="C19" s="32" t="str">
        <x:v>Usuario 15</x:v>
      </x:c>
      <x:c r="D19" s="32" t="str">
        <x:v>Red</x:v>
      </x:c>
      <x:c r="E19" s="32" t="str">
        <x:v>Caso ficticio de red para validación del flujo</x:v>
      </x:c>
      <x:c r="F19" s="32" t="str">
        <x:v>Alta</x:v>
      </x:c>
      <x:c r="G19" s="32" t="str">
        <x:v>Resuelto</x:v>
      </x:c>
      <x:c r="H19" s="32" t="str">
        <x:v>AST-0015</x:v>
      </x:c>
      <x:c r="I19" s="32" t="n">
        <x:v>2</x:v>
      </x:c>
      <x:c r="J19" s="32" t="n">
        <x:f>IF(F19="Crítica",'Catalogos'!$B$4,IF(F19="Alta",'Catalogos'!$B$5,IF(F19="Media",'Catalogos'!$B$6,IF(F19="Baja",'Catalogos'!$B$7,'Catalogos'!$B$8))))</x:f>
        <x:v>4</x:v>
      </x:c>
      <x:c r="K19" s="32" t="str">
        <x:f>IF(I19&lt;=J19,"SÍ","NO")</x:f>
        <x:v>SÍ</x:v>
      </x:c>
      <x:c r="L19" s="32" t="str">
        <x:v>Teléfono</x:v>
      </x:c>
      <x:c r="M19" s="34" t="str">
        <x:v>Bitácora 15</x:v>
      </x:c>
    </x:row>
    <x:row r="20">
      <x:c r="A20" s="31" t="str">
        <x:v>INC-0016</x:v>
      </x:c>
      <x:c r="B20" s="42" t="n">
        <x:v>46240.375</x:v>
      </x:c>
      <x:c r="C20" s="32" t="str">
        <x:v>Usuario 16</x:v>
      </x:c>
      <x:c r="D20" s="32" t="str">
        <x:v>Cuenta de usuario</x:v>
      </x:c>
      <x:c r="E20" s="32" t="str">
        <x:v>Caso ficticio de cuenta de usuario para validación del flujo</x:v>
      </x:c>
      <x:c r="F20" s="32" t="str">
        <x:v>Media</x:v>
      </x:c>
      <x:c r="G20" s="32" t="str">
        <x:v>En progreso</x:v>
      </x:c>
      <x:c r="H20" s="32" t="str">
        <x:v>AST-0016</x:v>
      </x:c>
      <x:c r="I20" s="32" t="n">
        <x:v>5</x:v>
      </x:c>
      <x:c r="J20" s="32" t="n">
        <x:f>IF(F20="Crítica",'Catalogos'!$B$4,IF(F20="Alta",'Catalogos'!$B$5,IF(F20="Media",'Catalogos'!$B$6,IF(F20="Baja",'Catalogos'!$B$7,'Catalogos'!$B$8))))</x:f>
        <x:v>8</x:v>
      </x:c>
      <x:c r="K20" s="32" t="str">
        <x:f>IF(I20&lt;=J20,"SÍ","NO")</x:f>
        <x:v>SÍ</x:v>
      </x:c>
      <x:c r="L20" s="32" t="str">
        <x:v>Helpdesk</x:v>
      </x:c>
      <x:c r="M20" s="34" t="str">
        <x:v>Bitácora 16</x:v>
      </x:c>
    </x:row>
    <x:row r="21">
      <x:c r="A21" s="31" t="str">
        <x:v>INC-0017</x:v>
      </x:c>
      <x:c r="B21" s="42" t="n">
        <x:v>46240.385416666664</x:v>
      </x:c>
      <x:c r="C21" s="32" t="str">
        <x:v>Usuario 17</x:v>
      </x:c>
      <x:c r="D21" s="32" t="str">
        <x:v>ERP</x:v>
      </x:c>
      <x:c r="E21" s="32" t="str">
        <x:v>Caso ficticio de erp para validación del flujo</x:v>
      </x:c>
      <x:c r="F21" s="32" t="str">
        <x:v>Solicitud</x:v>
      </x:c>
      <x:c r="G21" s="32" t="str">
        <x:v>Abierto</x:v>
      </x:c>
      <x:c r="H21" s="32" t="str">
        <x:v>AST-0017</x:v>
      </x:c>
      <x:c r="I21" s="32" t="n">
        <x:v>48</x:v>
      </x:c>
      <x:c r="J21" s="32" t="n">
        <x:f>IF(F21="Crítica",'Catalogos'!$B$4,IF(F21="Alta",'Catalogos'!$B$5,IF(F21="Media",'Catalogos'!$B$6,IF(F21="Baja",'Catalogos'!$B$7,'Catalogos'!$B$8))))</x:f>
        <x:v>48</x:v>
      </x:c>
      <x:c r="K21" s="32" t="str">
        <x:f>IF(I21&lt;=J21,"SÍ","NO")</x:f>
        <x:v>SÍ</x:v>
      </x:c>
      <x:c r="L21" s="32" t="str">
        <x:v>Presencial</x:v>
      </x:c>
      <x:c r="M21" s="34" t="str">
        <x:v>Bitácora 17</x:v>
      </x:c>
    </x:row>
    <x:row r="22">
      <x:c r="A22" s="31" t="str">
        <x:v>INC-0018</x:v>
      </x:c>
      <x:c r="B22" s="42" t="n">
        <x:v>46240.395833333336</x:v>
      </x:c>
      <x:c r="C22" s="32" t="str">
        <x:v>Usuario 18</x:v>
      </x:c>
      <x:c r="D22" s="32" t="str">
        <x:v>CCTV</x:v>
      </x:c>
      <x:c r="E22" s="32" t="str">
        <x:v>Caso ficticio de cctv para validación del flujo</x:v>
      </x:c>
      <x:c r="F22" s="32" t="str">
        <x:v>Crítica</x:v>
      </x:c>
      <x:c r="G22" s="32" t="str">
        <x:v>Resuelto</x:v>
      </x:c>
      <x:c r="H22" s="32" t="str">
        <x:v>AST-0018</x:v>
      </x:c>
      <x:c r="I22" s="32" t="n">
        <x:v>1</x:v>
      </x:c>
      <x:c r="J22" s="32" t="n">
        <x:f>IF(F22="Crítica",'Catalogos'!$B$4,IF(F22="Alta",'Catalogos'!$B$5,IF(F22="Media",'Catalogos'!$B$6,IF(F22="Baja",'Catalogos'!$B$7,'Catalogos'!$B$8))))</x:f>
        <x:v>2</x:v>
      </x:c>
      <x:c r="K22" s="32" t="str">
        <x:f>IF(I22&lt;=J22,"SÍ","NO")</x:f>
        <x:v>SÍ</x:v>
      </x:c>
      <x:c r="L22" s="32" t="str">
        <x:v>Remoto</x:v>
      </x:c>
      <x:c r="M22" s="34" t="str">
        <x:v>Bitácora 18</x:v>
      </x:c>
    </x:row>
    <x:row r="23">
      <x:c r="A23" s="31" t="str">
        <x:v>INC-0019</x:v>
      </x:c>
      <x:c r="B23" s="42" t="n">
        <x:v>46241.375</x:v>
      </x:c>
      <x:c r="C23" s="32" t="str">
        <x:v>Usuario 19</x:v>
      </x:c>
      <x:c r="D23" s="32" t="str">
        <x:v>Hardware</x:v>
      </x:c>
      <x:c r="E23" s="32" t="str">
        <x:v>Caso ficticio de hardware para validación del flujo</x:v>
      </x:c>
      <x:c r="F23" s="32" t="str">
        <x:v>Media</x:v>
      </x:c>
      <x:c r="G23" s="32" t="str">
        <x:v>Resuelto</x:v>
      </x:c>
      <x:c r="H23" s="32" t="str">
        <x:v>AST-0019</x:v>
      </x:c>
      <x:c r="I23" s="32" t="n">
        <x:v>6</x:v>
      </x:c>
      <x:c r="J23" s="32" t="n">
        <x:f>IF(F23="Crítica",'Catalogos'!$B$4,IF(F23="Alta",'Catalogos'!$B$5,IF(F23="Media",'Catalogos'!$B$6,IF(F23="Baja",'Catalogos'!$B$7,'Catalogos'!$B$8))))</x:f>
        <x:v>8</x:v>
      </x:c>
      <x:c r="K23" s="32" t="str">
        <x:f>IF(I23&lt;=J23,"SÍ","NO")</x:f>
        <x:v>SÍ</x:v>
      </x:c>
      <x:c r="L23" s="32" t="str">
        <x:v>Teléfono</x:v>
      </x:c>
      <x:c r="M23" s="34" t="str">
        <x:v>Bitácora 19</x:v>
      </x:c>
    </x:row>
    <x:row r="24">
      <x:c r="A24" s="31" t="str">
        <x:v>INC-0020</x:v>
      </x:c>
      <x:c r="B24" s="42" t="n">
        <x:v>46241.385416666664</x:v>
      </x:c>
      <x:c r="C24" s="32" t="str">
        <x:v>Usuario 20</x:v>
      </x:c>
      <x:c r="D24" s="32" t="str">
        <x:v>Software</x:v>
      </x:c>
      <x:c r="E24" s="32" t="str">
        <x:v>Caso ficticio de software para validación del flujo</x:v>
      </x:c>
      <x:c r="F24" s="32" t="str">
        <x:v>Baja</x:v>
      </x:c>
      <x:c r="G24" s="32" t="str">
        <x:v>Cerrado</x:v>
      </x:c>
      <x:c r="H24" s="32" t="str">
        <x:v>AST-0020</x:v>
      </x:c>
      <x:c r="I24" s="32" t="n">
        <x:v>21</x:v>
      </x:c>
      <x:c r="J24" s="32" t="n">
        <x:f>IF(F24="Crítica",'Catalogos'!$B$4,IF(F24="Alta",'Catalogos'!$B$5,IF(F24="Media",'Catalogos'!$B$6,IF(F24="Baja",'Catalogos'!$B$7,'Catalogos'!$B$8))))</x:f>
        <x:v>24</x:v>
      </x:c>
      <x:c r="K24" s="32" t="str">
        <x:f>IF(I24&lt;=J24,"SÍ","NO")</x:f>
        <x:v>SÍ</x:v>
      </x:c>
      <x:c r="L24" s="32" t="str">
        <x:v>Helpdesk</x:v>
      </x:c>
      <x:c r="M24" s="34" t="str">
        <x:v>Bitácora 20</x:v>
      </x:c>
    </x:row>
    <x:row r="25">
      <x:c r="A25" s="31" t="str">
        <x:v>INC-0021</x:v>
      </x:c>
      <x:c r="B25" s="42" t="n">
        <x:v>46241.395833333336</x:v>
      </x:c>
      <x:c r="C25" s="32" t="str">
        <x:v>Usuario 01</x:v>
      </x:c>
      <x:c r="D25" s="32" t="str">
        <x:v>Red</x:v>
      </x:c>
      <x:c r="E25" s="32" t="str">
        <x:v>Caso ficticio de red para validación del flujo</x:v>
      </x:c>
      <x:c r="F25" s="32" t="str">
        <x:v>Alta</x:v>
      </x:c>
      <x:c r="G25" s="32" t="str">
        <x:v>Resuelto</x:v>
      </x:c>
      <x:c r="H25" s="32" t="str">
        <x:v>AST-0021</x:v>
      </x:c>
      <x:c r="I25" s="32" t="n">
        <x:v>4</x:v>
      </x:c>
      <x:c r="J25" s="32" t="n">
        <x:f>IF(F25="Crítica",'Catalogos'!$B$4,IF(F25="Alta",'Catalogos'!$B$5,IF(F25="Media",'Catalogos'!$B$6,IF(F25="Baja",'Catalogos'!$B$7,'Catalogos'!$B$8))))</x:f>
        <x:v>4</x:v>
      </x:c>
      <x:c r="K25" s="32" t="str">
        <x:f>IF(I25&lt;=J25,"SÍ","NO")</x:f>
        <x:v>SÍ</x:v>
      </x:c>
      <x:c r="L25" s="32" t="str">
        <x:v>Presencial</x:v>
      </x:c>
      <x:c r="M25" s="34" t="str">
        <x:v>Bitácora 21</x:v>
      </x:c>
    </x:row>
    <x:row r="26">
      <x:c r="A26" s="31" t="str">
        <x:v>INC-0022</x:v>
      </x:c>
      <x:c r="B26" s="42" t="n">
        <x:v>46242.375</x:v>
      </x:c>
      <x:c r="C26" s="32" t="str">
        <x:v>Usuario 02</x:v>
      </x:c>
      <x:c r="D26" s="32" t="str">
        <x:v>Cuenta de usuario</x:v>
      </x:c>
      <x:c r="E26" s="32" t="str">
        <x:v>Caso ficticio de cuenta de usuario para validación del flujo</x:v>
      </x:c>
      <x:c r="F26" s="32" t="str">
        <x:v>Media</x:v>
      </x:c>
      <x:c r="G26" s="32" t="str">
        <x:v>En progreso</x:v>
      </x:c>
      <x:c r="H26" s="32" t="str">
        <x:v>AST-0022</x:v>
      </x:c>
      <x:c r="I26" s="32" t="n">
        <x:v>7</x:v>
      </x:c>
      <x:c r="J26" s="32" t="n">
        <x:f>IF(F26="Crítica",'Catalogos'!$B$4,IF(F26="Alta",'Catalogos'!$B$5,IF(F26="Media",'Catalogos'!$B$6,IF(F26="Baja",'Catalogos'!$B$7,'Catalogos'!$B$8))))</x:f>
        <x:v>8</x:v>
      </x:c>
      <x:c r="K26" s="32" t="str">
        <x:f>IF(I26&lt;=J26,"SÍ","NO")</x:f>
        <x:v>SÍ</x:v>
      </x:c>
      <x:c r="L26" s="32" t="str">
        <x:v>Remoto</x:v>
      </x:c>
      <x:c r="M26" s="34" t="str">
        <x:v>Bitácora 22</x:v>
      </x:c>
    </x:row>
    <x:row r="27">
      <x:c r="A27" s="31" t="str">
        <x:v>INC-0023</x:v>
      </x:c>
      <x:c r="B27" s="42" t="n">
        <x:v>46242.385416666664</x:v>
      </x:c>
      <x:c r="C27" s="32" t="str">
        <x:v>Usuario 03</x:v>
      </x:c>
      <x:c r="D27" s="32" t="str">
        <x:v>ERP</x:v>
      </x:c>
      <x:c r="E27" s="32" t="str">
        <x:v>Caso ficticio de erp para validación del flujo</x:v>
      </x:c>
      <x:c r="F27" s="32" t="str">
        <x:v>Solicitud</x:v>
      </x:c>
      <x:c r="G27" s="32" t="str">
        <x:v>Abierto</x:v>
      </x:c>
      <x:c r="H27" s="32" t="str">
        <x:v>AST-0023</x:v>
      </x:c>
      <x:c r="I27" s="32" t="n">
        <x:v>46</x:v>
      </x:c>
      <x:c r="J27" s="32" t="n">
        <x:f>IF(F27="Crítica",'Catalogos'!$B$4,IF(F27="Alta",'Catalogos'!$B$5,IF(F27="Media",'Catalogos'!$B$6,IF(F27="Baja",'Catalogos'!$B$7,'Catalogos'!$B$8))))</x:f>
        <x:v>48</x:v>
      </x:c>
      <x:c r="K27" s="32" t="str">
        <x:f>IF(I27&lt;=J27,"SÍ","NO")</x:f>
        <x:v>SÍ</x:v>
      </x:c>
      <x:c r="L27" s="32" t="str">
        <x:v>Teléfono</x:v>
      </x:c>
      <x:c r="M27" s="34" t="str">
        <x:v>Bitácora 23</x:v>
      </x:c>
    </x:row>
    <x:row r="28">
      <x:c r="A28" s="31" t="str">
        <x:v>INC-0024</x:v>
      </x:c>
      <x:c r="B28" s="42" t="n">
        <x:v>46242.395833333336</x:v>
      </x:c>
      <x:c r="C28" s="32" t="str">
        <x:v>Usuario 04</x:v>
      </x:c>
      <x:c r="D28" s="32" t="str">
        <x:v>CCTV</x:v>
      </x:c>
      <x:c r="E28" s="32" t="str">
        <x:v>Caso ficticio de cctv para validación del flujo</x:v>
      </x:c>
      <x:c r="F28" s="32" t="str">
        <x:v>Crítica</x:v>
      </x:c>
      <x:c r="G28" s="32" t="str">
        <x:v>Resuelto</x:v>
      </x:c>
      <x:c r="H28" s="32" t="str">
        <x:v>AST-0024</x:v>
      </x:c>
      <x:c r="I28" s="32" t="n">
        <x:v>1</x:v>
      </x:c>
      <x:c r="J28" s="32" t="n">
        <x:f>IF(F28="Crítica",'Catalogos'!$B$4,IF(F28="Alta",'Catalogos'!$B$5,IF(F28="Media",'Catalogos'!$B$6,IF(F28="Baja",'Catalogos'!$B$7,'Catalogos'!$B$8))))</x:f>
        <x:v>2</x:v>
      </x:c>
      <x:c r="K28" s="32" t="str">
        <x:f>IF(I28&lt;=J28,"SÍ","NO")</x:f>
        <x:v>SÍ</x:v>
      </x:c>
      <x:c r="L28" s="32" t="str">
        <x:v>Helpdesk</x:v>
      </x:c>
      <x:c r="M28" s="34" t="str">
        <x:v>Bitácora 24</x:v>
      </x:c>
    </x:row>
    <x:row r="29">
      <x:c r="A29" s="31" t="str">
        <x:v>INC-0025</x:v>
      </x:c>
      <x:c r="B29" s="42" t="n">
        <x:v>46243.375</x:v>
      </x:c>
      <x:c r="C29" s="32" t="str">
        <x:v>Usuario 05</x:v>
      </x:c>
      <x:c r="D29" s="32" t="str">
        <x:v>Hardware</x:v>
      </x:c>
      <x:c r="E29" s="32" t="str">
        <x:v>Caso ficticio de hardware para validación del flujo</x:v>
      </x:c>
      <x:c r="F29" s="32" t="str">
        <x:v>Media</x:v>
      </x:c>
      <x:c r="G29" s="32" t="str">
        <x:v>Resuelto</x:v>
      </x:c>
      <x:c r="H29" s="32" t="str">
        <x:v>AST-0025</x:v>
      </x:c>
      <x:c r="I29" s="32" t="n">
        <x:v>8</x:v>
      </x:c>
      <x:c r="J29" s="32" t="n">
        <x:f>IF(F29="Crítica",'Catalogos'!$B$4,IF(F29="Alta",'Catalogos'!$B$5,IF(F29="Media",'Catalogos'!$B$6,IF(F29="Baja",'Catalogos'!$B$7,'Catalogos'!$B$8))))</x:f>
        <x:v>8</x:v>
      </x:c>
      <x:c r="K29" s="32" t="str">
        <x:f>IF(I29&lt;=J29,"SÍ","NO")</x:f>
        <x:v>SÍ</x:v>
      </x:c>
      <x:c r="L29" s="32" t="str">
        <x:v>Presencial</x:v>
      </x:c>
      <x:c r="M29" s="34" t="str">
        <x:v>Bitácora 25</x:v>
      </x:c>
    </x:row>
    <x:row r="30">
      <x:c r="A30" s="31" t="str">
        <x:v>INC-0026</x:v>
      </x:c>
      <x:c r="B30" s="42" t="n">
        <x:v>46243.385416666664</x:v>
      </x:c>
      <x:c r="C30" s="32" t="str">
        <x:v>Usuario 06</x:v>
      </x:c>
      <x:c r="D30" s="32" t="str">
        <x:v>Software</x:v>
      </x:c>
      <x:c r="E30" s="32" t="str">
        <x:v>Caso ficticio de software para validación del flujo</x:v>
      </x:c>
      <x:c r="F30" s="32" t="str">
        <x:v>Baja</x:v>
      </x:c>
      <x:c r="G30" s="32" t="str">
        <x:v>Cerrado</x:v>
      </x:c>
      <x:c r="H30" s="32" t="str">
        <x:v>AST-0026</x:v>
      </x:c>
      <x:c r="I30" s="32" t="n">
        <x:v>27</x:v>
      </x:c>
      <x:c r="J30" s="32" t="n">
        <x:f>IF(F30="Crítica",'Catalogos'!$B$4,IF(F30="Alta",'Catalogos'!$B$5,IF(F30="Media",'Catalogos'!$B$6,IF(F30="Baja",'Catalogos'!$B$7,'Catalogos'!$B$8))))</x:f>
        <x:v>24</x:v>
      </x:c>
      <x:c r="K30" s="32" t="str">
        <x:f>IF(I30&lt;=J30,"SÍ","NO")</x:f>
        <x:v>NO</x:v>
      </x:c>
      <x:c r="L30" s="32" t="str">
        <x:v>Remoto</x:v>
      </x:c>
      <x:c r="M30" s="34" t="str">
        <x:v>Bitácora 26</x:v>
      </x:c>
    </x:row>
    <x:row r="31">
      <x:c r="A31" s="31" t="str">
        <x:v>INC-0027</x:v>
      </x:c>
      <x:c r="B31" s="42" t="n">
        <x:v>46243.395833333336</x:v>
      </x:c>
      <x:c r="C31" s="32" t="str">
        <x:v>Usuario 07</x:v>
      </x:c>
      <x:c r="D31" s="32" t="str">
        <x:v>Red</x:v>
      </x:c>
      <x:c r="E31" s="32" t="str">
        <x:v>Caso ficticio de red para validación del flujo</x:v>
      </x:c>
      <x:c r="F31" s="32" t="str">
        <x:v>Alta</x:v>
      </x:c>
      <x:c r="G31" s="32" t="str">
        <x:v>Resuelto</x:v>
      </x:c>
      <x:c r="H31" s="32" t="str">
        <x:v>AST-0027</x:v>
      </x:c>
      <x:c r="I31" s="32" t="n">
        <x:v>2</x:v>
      </x:c>
      <x:c r="J31" s="32" t="n">
        <x:f>IF(F31="Crítica",'Catalogos'!$B$4,IF(F31="Alta",'Catalogos'!$B$5,IF(F31="Media",'Catalogos'!$B$6,IF(F31="Baja",'Catalogos'!$B$7,'Catalogos'!$B$8))))</x:f>
        <x:v>4</x:v>
      </x:c>
      <x:c r="K31" s="32" t="str">
        <x:f>IF(I31&lt;=J31,"SÍ","NO")</x:f>
        <x:v>SÍ</x:v>
      </x:c>
      <x:c r="L31" s="32" t="str">
        <x:v>Teléfono</x:v>
      </x:c>
      <x:c r="M31" s="34" t="str">
        <x:v>Bitácora 27</x:v>
      </x:c>
    </x:row>
    <x:row r="32">
      <x:c r="A32" s="31" t="str">
        <x:v>INC-0028</x:v>
      </x:c>
      <x:c r="B32" s="42" t="n">
        <x:v>46244.375</x:v>
      </x:c>
      <x:c r="C32" s="32" t="str">
        <x:v>Usuario 08</x:v>
      </x:c>
      <x:c r="D32" s="32" t="str">
        <x:v>Cuenta de usuario</x:v>
      </x:c>
      <x:c r="E32" s="32" t="str">
        <x:v>Caso ficticio de cuenta de usuario para validación del flujo</x:v>
      </x:c>
      <x:c r="F32" s="32" t="str">
        <x:v>Media</x:v>
      </x:c>
      <x:c r="G32" s="32" t="str">
        <x:v>En progreso</x:v>
      </x:c>
      <x:c r="H32" s="32" t="str">
        <x:v>AST-0028</x:v>
      </x:c>
      <x:c r="I32" s="32" t="n">
        <x:v>5</x:v>
      </x:c>
      <x:c r="J32" s="32" t="n">
        <x:f>IF(F32="Crítica",'Catalogos'!$B$4,IF(F32="Alta",'Catalogos'!$B$5,IF(F32="Media",'Catalogos'!$B$6,IF(F32="Baja",'Catalogos'!$B$7,'Catalogos'!$B$8))))</x:f>
        <x:v>8</x:v>
      </x:c>
      <x:c r="K32" s="32" t="str">
        <x:f>IF(I32&lt;=J32,"SÍ","NO")</x:f>
        <x:v>SÍ</x:v>
      </x:c>
      <x:c r="L32" s="32" t="str">
        <x:v>Helpdesk</x:v>
      </x:c>
      <x:c r="M32" s="34" t="str">
        <x:v>Bitácora 28</x:v>
      </x:c>
    </x:row>
    <x:row r="33">
      <x:c r="A33" s="31" t="str">
        <x:v>INC-0029</x:v>
      </x:c>
      <x:c r="B33" s="42" t="n">
        <x:v>46244.385416666664</x:v>
      </x:c>
      <x:c r="C33" s="32" t="str">
        <x:v>Usuario 09</x:v>
      </x:c>
      <x:c r="D33" s="32" t="str">
        <x:v>ERP</x:v>
      </x:c>
      <x:c r="E33" s="32" t="str">
        <x:v>Caso ficticio de erp para validación del flujo</x:v>
      </x:c>
      <x:c r="F33" s="32" t="str">
        <x:v>Solicitud</x:v>
      </x:c>
      <x:c r="G33" s="32" t="str">
        <x:v>Abierto</x:v>
      </x:c>
      <x:c r="H33" s="32" t="str">
        <x:v>AST-0029</x:v>
      </x:c>
      <x:c r="I33" s="32" t="n">
        <x:v>48</x:v>
      </x:c>
      <x:c r="J33" s="32" t="n">
        <x:f>IF(F33="Crítica",'Catalogos'!$B$4,IF(F33="Alta",'Catalogos'!$B$5,IF(F33="Media",'Catalogos'!$B$6,IF(F33="Baja",'Catalogos'!$B$7,'Catalogos'!$B$8))))</x:f>
        <x:v>48</x:v>
      </x:c>
      <x:c r="K33" s="32" t="str">
        <x:f>IF(I33&lt;=J33,"SÍ","NO")</x:f>
        <x:v>SÍ</x:v>
      </x:c>
      <x:c r="L33" s="32" t="str">
        <x:v>Presencial</x:v>
      </x:c>
      <x:c r="M33" s="34" t="str">
        <x:v>Bitácora 29</x:v>
      </x:c>
    </x:row>
    <x:row r="34">
      <x:c r="A34" s="31" t="str">
        <x:v>INC-0030</x:v>
      </x:c>
      <x:c r="B34" s="42" t="n">
        <x:v>46244.395833333336</x:v>
      </x:c>
      <x:c r="C34" s="32" t="str">
        <x:v>Usuario 10</x:v>
      </x:c>
      <x:c r="D34" s="32" t="str">
        <x:v>CCTV</x:v>
      </x:c>
      <x:c r="E34" s="32" t="str">
        <x:v>Caso ficticio de cctv para validación del flujo</x:v>
      </x:c>
      <x:c r="F34" s="32" t="str">
        <x:v>Crítica</x:v>
      </x:c>
      <x:c r="G34" s="32" t="str">
        <x:v>Resuelto</x:v>
      </x:c>
      <x:c r="H34" s="32" t="str">
        <x:v>AST-0030</x:v>
      </x:c>
      <x:c r="I34" s="32" t="n">
        <x:v>1</x:v>
      </x:c>
      <x:c r="J34" s="32" t="n">
        <x:f>IF(F34="Crítica",'Catalogos'!$B$4,IF(F34="Alta",'Catalogos'!$B$5,IF(F34="Media",'Catalogos'!$B$6,IF(F34="Baja",'Catalogos'!$B$7,'Catalogos'!$B$8))))</x:f>
        <x:v>2</x:v>
      </x:c>
      <x:c r="K34" s="32" t="str">
        <x:f>IF(I34&lt;=J34,"SÍ","NO")</x:f>
        <x:v>SÍ</x:v>
      </x:c>
      <x:c r="L34" s="32" t="str">
        <x:v>Remoto</x:v>
      </x:c>
      <x:c r="M34" s="34" t="str">
        <x:v>Bitácora 30</x:v>
      </x:c>
    </x:row>
    <x:row r="35">
      <x:c r="A35" s="31" t="str">
        <x:v>INC-0031</x:v>
      </x:c>
      <x:c r="B35" s="42" t="n">
        <x:v>46245.375</x:v>
      </x:c>
      <x:c r="C35" s="32" t="str">
        <x:v>Usuario 11</x:v>
      </x:c>
      <x:c r="D35" s="32" t="str">
        <x:v>Hardware</x:v>
      </x:c>
      <x:c r="E35" s="32" t="str">
        <x:v>Caso ficticio de hardware para validación del flujo</x:v>
      </x:c>
      <x:c r="F35" s="32" t="str">
        <x:v>Media</x:v>
      </x:c>
      <x:c r="G35" s="32" t="str">
        <x:v>Resuelto</x:v>
      </x:c>
      <x:c r="H35" s="32" t="str">
        <x:v>AST-0001</x:v>
      </x:c>
      <x:c r="I35" s="32" t="n">
        <x:v>6</x:v>
      </x:c>
      <x:c r="J35" s="32" t="n">
        <x:f>IF(F35="Crítica",'Catalogos'!$B$4,IF(F35="Alta",'Catalogos'!$B$5,IF(F35="Media",'Catalogos'!$B$6,IF(F35="Baja",'Catalogos'!$B$7,'Catalogos'!$B$8))))</x:f>
        <x:v>8</x:v>
      </x:c>
      <x:c r="K35" s="32" t="str">
        <x:f>IF(I35&lt;=J35,"SÍ","NO")</x:f>
        <x:v>SÍ</x:v>
      </x:c>
      <x:c r="L35" s="32" t="str">
        <x:v>Teléfono</x:v>
      </x:c>
      <x:c r="M35" s="34" t="str">
        <x:v>Bitácora 31</x:v>
      </x:c>
    </x:row>
    <x:row r="36">
      <x:c r="A36" s="31" t="str">
        <x:v>INC-0032</x:v>
      </x:c>
      <x:c r="B36" s="42" t="n">
        <x:v>46245.385416666664</x:v>
      </x:c>
      <x:c r="C36" s="32" t="str">
        <x:v>Usuario 12</x:v>
      </x:c>
      <x:c r="D36" s="32" t="str">
        <x:v>Software</x:v>
      </x:c>
      <x:c r="E36" s="32" t="str">
        <x:v>Caso ficticio de software para validación del flujo</x:v>
      </x:c>
      <x:c r="F36" s="32" t="str">
        <x:v>Baja</x:v>
      </x:c>
      <x:c r="G36" s="32" t="str">
        <x:v>Cerrado</x:v>
      </x:c>
      <x:c r="H36" s="32" t="str">
        <x:v>AST-0002</x:v>
      </x:c>
      <x:c r="I36" s="32" t="n">
        <x:v>21</x:v>
      </x:c>
      <x:c r="J36" s="32" t="n">
        <x:f>IF(F36="Crítica",'Catalogos'!$B$4,IF(F36="Alta",'Catalogos'!$B$5,IF(F36="Media",'Catalogos'!$B$6,IF(F36="Baja",'Catalogos'!$B$7,'Catalogos'!$B$8))))</x:f>
        <x:v>24</x:v>
      </x:c>
      <x:c r="K36" s="32" t="str">
        <x:f>IF(I36&lt;=J36,"SÍ","NO")</x:f>
        <x:v>SÍ</x:v>
      </x:c>
      <x:c r="L36" s="32" t="str">
        <x:v>Helpdesk</x:v>
      </x:c>
      <x:c r="M36" s="34" t="str">
        <x:v>Bitácora 32</x:v>
      </x:c>
    </x:row>
    <x:row r="37">
      <x:c r="A37" s="31" t="str">
        <x:v>INC-0033</x:v>
      </x:c>
      <x:c r="B37" s="42" t="n">
        <x:v>46245.395833333336</x:v>
      </x:c>
      <x:c r="C37" s="32" t="str">
        <x:v>Usuario 13</x:v>
      </x:c>
      <x:c r="D37" s="32" t="str">
        <x:v>Red</x:v>
      </x:c>
      <x:c r="E37" s="32" t="str">
        <x:v>Caso ficticio de red para validación del flujo</x:v>
      </x:c>
      <x:c r="F37" s="32" t="str">
        <x:v>Alta</x:v>
      </x:c>
      <x:c r="G37" s="32" t="str">
        <x:v>Resuelto</x:v>
      </x:c>
      <x:c r="H37" s="32" t="str">
        <x:v>AST-0003</x:v>
      </x:c>
      <x:c r="I37" s="32" t="n">
        <x:v>4</x:v>
      </x:c>
      <x:c r="J37" s="32" t="n">
        <x:f>IF(F37="Crítica",'Catalogos'!$B$4,IF(F37="Alta",'Catalogos'!$B$5,IF(F37="Media",'Catalogos'!$B$6,IF(F37="Baja",'Catalogos'!$B$7,'Catalogos'!$B$8))))</x:f>
        <x:v>4</x:v>
      </x:c>
      <x:c r="K37" s="32" t="str">
        <x:f>IF(I37&lt;=J37,"SÍ","NO")</x:f>
        <x:v>SÍ</x:v>
      </x:c>
      <x:c r="L37" s="32" t="str">
        <x:v>Presencial</x:v>
      </x:c>
      <x:c r="M37" s="34" t="str">
        <x:v>Bitácora 33</x:v>
      </x:c>
    </x:row>
    <x:row r="38">
      <x:c r="A38" s="31" t="str">
        <x:v>INC-0034</x:v>
      </x:c>
      <x:c r="B38" s="42" t="n">
        <x:v>46246.375</x:v>
      </x:c>
      <x:c r="C38" s="32" t="str">
        <x:v>Usuario 14</x:v>
      </x:c>
      <x:c r="D38" s="32" t="str">
        <x:v>Cuenta de usuario</x:v>
      </x:c>
      <x:c r="E38" s="32" t="str">
        <x:v>Caso ficticio de cuenta de usuario para validación del flujo</x:v>
      </x:c>
      <x:c r="F38" s="32" t="str">
        <x:v>Media</x:v>
      </x:c>
      <x:c r="G38" s="32" t="str">
        <x:v>En progreso</x:v>
      </x:c>
      <x:c r="H38" s="32" t="str">
        <x:v>AST-0004</x:v>
      </x:c>
      <x:c r="I38" s="32" t="n">
        <x:v>7</x:v>
      </x:c>
      <x:c r="J38" s="32" t="n">
        <x:f>IF(F38="Crítica",'Catalogos'!$B$4,IF(F38="Alta",'Catalogos'!$B$5,IF(F38="Media",'Catalogos'!$B$6,IF(F38="Baja",'Catalogos'!$B$7,'Catalogos'!$B$8))))</x:f>
        <x:v>8</x:v>
      </x:c>
      <x:c r="K38" s="32" t="str">
        <x:f>IF(I38&lt;=J38,"SÍ","NO")</x:f>
        <x:v>SÍ</x:v>
      </x:c>
      <x:c r="L38" s="32" t="str">
        <x:v>Remoto</x:v>
      </x:c>
      <x:c r="M38" s="34" t="str">
        <x:v>Bitácora 34</x:v>
      </x:c>
    </x:row>
    <x:row r="39">
      <x:c r="A39" s="31" t="str">
        <x:v>INC-0035</x:v>
      </x:c>
      <x:c r="B39" s="42" t="n">
        <x:v>46246.385416666664</x:v>
      </x:c>
      <x:c r="C39" s="32" t="str">
        <x:v>Usuario 15</x:v>
      </x:c>
      <x:c r="D39" s="32" t="str">
        <x:v>ERP</x:v>
      </x:c>
      <x:c r="E39" s="32" t="str">
        <x:v>Caso ficticio de erp para validación del flujo</x:v>
      </x:c>
      <x:c r="F39" s="32" t="str">
        <x:v>Solicitud</x:v>
      </x:c>
      <x:c r="G39" s="32" t="str">
        <x:v>Abierto</x:v>
      </x:c>
      <x:c r="H39" s="32" t="str">
        <x:v>AST-0005</x:v>
      </x:c>
      <x:c r="I39" s="32" t="n">
        <x:v>46</x:v>
      </x:c>
      <x:c r="J39" s="32" t="n">
        <x:f>IF(F39="Crítica",'Catalogos'!$B$4,IF(F39="Alta",'Catalogos'!$B$5,IF(F39="Media",'Catalogos'!$B$6,IF(F39="Baja",'Catalogos'!$B$7,'Catalogos'!$B$8))))</x:f>
        <x:v>48</x:v>
      </x:c>
      <x:c r="K39" s="32" t="str">
        <x:f>IF(I39&lt;=J39,"SÍ","NO")</x:f>
        <x:v>SÍ</x:v>
      </x:c>
      <x:c r="L39" s="32" t="str">
        <x:v>Teléfono</x:v>
      </x:c>
      <x:c r="M39" s="34" t="str">
        <x:v>Bitácora 35</x:v>
      </x:c>
    </x:row>
    <x:row r="40">
      <x:c r="A40" s="35" t="str">
        <x:v>INC-0036</x:v>
      </x:c>
      <x:c r="B40" s="43" t="n">
        <x:v>46246.395833333336</x:v>
      </x:c>
      <x:c r="C40" s="36" t="str">
        <x:v>Usuario 16</x:v>
      </x:c>
      <x:c r="D40" s="36" t="str">
        <x:v>CCTV</x:v>
      </x:c>
      <x:c r="E40" s="36" t="str">
        <x:v>Caso ficticio de cctv para validación del flujo</x:v>
      </x:c>
      <x:c r="F40" s="36" t="str">
        <x:v>Crítica</x:v>
      </x:c>
      <x:c r="G40" s="36" t="str">
        <x:v>Resuelto</x:v>
      </x:c>
      <x:c r="H40" s="36" t="str">
        <x:v>AST-0006</x:v>
      </x:c>
      <x:c r="I40" s="36" t="n">
        <x:v>1</x:v>
      </x:c>
      <x:c r="J40" s="36" t="n">
        <x:f>IF(F40="Crítica",'Catalogos'!$B$4,IF(F40="Alta",'Catalogos'!$B$5,IF(F40="Media",'Catalogos'!$B$6,IF(F40="Baja",'Catalogos'!$B$7,'Catalogos'!$B$8))))</x:f>
        <x:v>2</x:v>
      </x:c>
      <x:c r="K40" s="36" t="str">
        <x:f>IF(I40&lt;=J40,"SÍ","NO")</x:f>
        <x:v>SÍ</x:v>
      </x:c>
      <x:c r="L40" s="36" t="str">
        <x:v>Helpdesk</x:v>
      </x:c>
      <x:c r="M40" s="38" t="str">
        <x:v>Bitácora 36</x:v>
      </x:c>
    </x:row>
  </x:sheetData>
  <x:mergeCells>
    <x:mergeCell ref="A1:M1"/>
    <x:mergeCell ref="A2:M2"/>
  </x:mergeCells>
  <x:conditionalFormatting sqref="K5:K100">
    <x:cfRule type="containsText" dxfId="2" priority="1" operator="containsText" text="NO"/>
    <x:cfRule type="containsText" dxfId="3" priority="2" operator="containsText" text="SÍ"/>
  </x:conditionalFormatting>
  <x:dataValidations count="2">
    <x:dataValidation type="list" sqref="F5:F100">
      <x:formula1>Catalogos!$A$4:$A$8</x:formula1>
    </x:dataValidation>
    <x:dataValidation type="list" sqref="G5:G100">
      <x:formula1>Catalogos!$D$4:$D$7</x:formula1>
    </x:dataValidation>
  </x:dataValidations>
  <x:pageMargins left="0.7" right="0.7" top="0.75" bottom="0.75" header="0.3" footer="0.3"/>
  <x:legacyDrawing xmlns:r="http://schemas.openxmlformats.org/officeDocument/2006/relationships" r:id="Rae46ff32a9ad47ba"/>
  <x:tableParts count="1">
    <x:tablePart xmlns:r="http://schemas.openxmlformats.org/officeDocument/2006/relationships" r:id="R96ea5c525ad04c3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3" t="str">
        <x:v>PLAN DE MANTENIMIENTO PREVENTIVO Y RESPALDOS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 ht="32" customHeight="1">
      <x:c r="A3" s="20" t="str">
        <x:v>Orden</x:v>
      </x:c>
      <x:c r="B3" s="21" t="str">
        <x:v>Activo ID</x:v>
      </x:c>
      <x:c r="C3" s="21" t="str">
        <x:v>Actividad</x:v>
      </x:c>
      <x:c r="D3" s="21" t="str">
        <x:v>Frecuencia</x:v>
      </x:c>
      <x:c r="E3" s="21" t="str">
        <x:v>Última ejecución</x:v>
      </x:c>
      <x:c r="F3" s="21" t="str">
        <x:v>Próxima fecha</x:v>
      </x:c>
      <x:c r="G3" s="21" t="str">
        <x:v>Responsable</x:v>
      </x:c>
      <x:c r="H3" s="21" t="str">
        <x:v>Estado</x:v>
      </x:c>
      <x:c r="I3" s="21" t="str">
        <x:v>Evidencia</x:v>
      </x:c>
      <x:c r="J3" s="22" t="str">
        <x:v>Riesgo</x:v>
      </x:c>
    </x:row>
    <x:row r="4">
      <x:c r="A4" s="31" t="str">
        <x:v>MNT-0001</x:v>
      </x:c>
      <x:c r="B4" s="32" t="str">
        <x:v>AST-0001</x:v>
      </x:c>
      <x:c r="C4" s="32" t="str">
        <x:v>Limpieza física</x:v>
      </x:c>
      <x:c r="D4" s="32" t="str">
        <x:v>90 días</x:v>
      </x:c>
      <x:c r="E4" s="33" t="n">
        <x:v>46204</x:v>
      </x:c>
      <x:c r="F4" s="33" t="n">
        <x:f>E4+IF(C4="Limpieza física",90,IF(C4="Parches de sistema",30,IF(C4="Prueba de respaldo",14,IF(C4="Revisión cableado",180,30))))</x:f>
        <x:v>46294</x:v>
      </x:c>
      <x:c r="G4" s="32" t="str">
        <x:v>Soporte TI</x:v>
      </x:c>
      <x:c r="H4" s="32" t="str">
        <x:f>IF(F4&lt;DATE(2026,9,1),"VENCIDO","PROGRAMADO")</x:f>
        <x:v>PROGRAMADO</x:v>
      </x:c>
      <x:c r="I4" s="32" t="str">
        <x:v>Checklist 1</x:v>
      </x:c>
      <x:c r="J4" s="34" t="str">
        <x:v>Alto</x:v>
      </x:c>
    </x:row>
    <x:row r="5">
      <x:c r="A5" s="31" t="str">
        <x:v>MNT-0002</x:v>
      </x:c>
      <x:c r="B5" s="32" t="str">
        <x:v>AST-0002</x:v>
      </x:c>
      <x:c r="C5" s="32" t="str">
        <x:v>Parches de sistema</x:v>
      </x:c>
      <x:c r="D5" s="32" t="str">
        <x:v>30 días</x:v>
      </x:c>
      <x:c r="E5" s="33" t="n">
        <x:v>46205</x:v>
      </x:c>
      <x:c r="F5" s="33" t="n">
        <x:f>E5+IF(C5="Limpieza física",90,IF(C5="Parches de sistema",30,IF(C5="Prueba de respaldo",14,IF(C5="Revisión cableado",180,30))))</x:f>
        <x:v>46235</x:v>
      </x:c>
      <x:c r="G5" s="32" t="str">
        <x:v>Soporte TI</x:v>
      </x:c>
      <x:c r="H5" s="32" t="str">
        <x:f>IF(F5&lt;DATE(2026,9,1),"VENCIDO","PROGRAMADO")</x:f>
        <x:v>VENCIDO</x:v>
      </x:c>
      <x:c r="I5" s="32" t="str">
        <x:v>Checklist 2</x:v>
      </x:c>
      <x:c r="J5" s="34" t="str">
        <x:v>Bajo</x:v>
      </x:c>
    </x:row>
    <x:row r="6">
      <x:c r="A6" s="31" t="str">
        <x:v>MNT-0003</x:v>
      </x:c>
      <x:c r="B6" s="32" t="str">
        <x:v>AST-0003</x:v>
      </x:c>
      <x:c r="C6" s="32" t="str">
        <x:v>Prueba de respaldo</x:v>
      </x:c>
      <x:c r="D6" s="32" t="str">
        <x:v>14 días</x:v>
      </x:c>
      <x:c r="E6" s="33" t="n">
        <x:v>46206</x:v>
      </x:c>
      <x:c r="F6" s="33" t="n">
        <x:f>E6+IF(C6="Limpieza física",90,IF(C6="Parches de sistema",30,IF(C6="Prueba de respaldo",14,IF(C6="Revisión cableado",180,30))))</x:f>
        <x:v>46220</x:v>
      </x:c>
      <x:c r="G6" s="32" t="str">
        <x:v>Soporte TI</x:v>
      </x:c>
      <x:c r="H6" s="32" t="str">
        <x:f>IF(F6&lt;DATE(2026,9,1),"VENCIDO","PROGRAMADO")</x:f>
        <x:v>VENCIDO</x:v>
      </x:c>
      <x:c r="I6" s="32" t="str">
        <x:v>Checklist 3</x:v>
      </x:c>
      <x:c r="J6" s="34" t="str">
        <x:v>Bajo</x:v>
      </x:c>
    </x:row>
    <x:row r="7">
      <x:c r="A7" s="31" t="str">
        <x:v>MNT-0004</x:v>
      </x:c>
      <x:c r="B7" s="32" t="str">
        <x:v>AST-0004</x:v>
      </x:c>
      <x:c r="C7" s="32" t="str">
        <x:v>Revisión cableado</x:v>
      </x:c>
      <x:c r="D7" s="32" t="str">
        <x:v>180 días</x:v>
      </x:c>
      <x:c r="E7" s="33" t="n">
        <x:v>46207</x:v>
      </x:c>
      <x:c r="F7" s="33" t="n">
        <x:f>E7+IF(C7="Limpieza física",90,IF(C7="Parches de sistema",30,IF(C7="Prueba de respaldo",14,IF(C7="Revisión cableado",180,30))))</x:f>
        <x:v>46387</x:v>
      </x:c>
      <x:c r="G7" s="32" t="str">
        <x:v>Soporte TI</x:v>
      </x:c>
      <x:c r="H7" s="32" t="str">
        <x:f>IF(F7&lt;DATE(2026,9,1),"VENCIDO","PROGRAMADO")</x:f>
        <x:v>PROGRAMADO</x:v>
      </x:c>
      <x:c r="I7" s="32" t="str">
        <x:v>Checklist 4</x:v>
      </x:c>
      <x:c r="J7" s="34" t="str">
        <x:v>Bajo</x:v>
      </x:c>
    </x:row>
    <x:row r="8">
      <x:c r="A8" s="31" t="str">
        <x:v>MNT-0005</x:v>
      </x:c>
      <x:c r="B8" s="32" t="str">
        <x:v>AST-0005</x:v>
      </x:c>
      <x:c r="C8" s="32" t="str">
        <x:v>Verificación CCTV</x:v>
      </x:c>
      <x:c r="D8" s="32" t="str">
        <x:v>30 días</x:v>
      </x:c>
      <x:c r="E8" s="33" t="n">
        <x:v>46208</x:v>
      </x:c>
      <x:c r="F8" s="33" t="n">
        <x:f>E8+IF(C8="Limpieza física",90,IF(C8="Parches de sistema",30,IF(C8="Prueba de respaldo",14,IF(C8="Revisión cableado",180,30))))</x:f>
        <x:v>46238</x:v>
      </x:c>
      <x:c r="G8" s="32" t="str">
        <x:v>Soporte TI</x:v>
      </x:c>
      <x:c r="H8" s="32" t="str">
        <x:f>IF(F8&lt;DATE(2026,9,1),"VENCIDO","PROGRAMADO")</x:f>
        <x:v>VENCIDO</x:v>
      </x:c>
      <x:c r="I8" s="32" t="str">
        <x:v>Checklist 5</x:v>
      </x:c>
      <x:c r="J8" s="34" t="str">
        <x:v>Bajo</x:v>
      </x:c>
    </x:row>
    <x:row r="9">
      <x:c r="A9" s="31" t="str">
        <x:v>MNT-0006</x:v>
      </x:c>
      <x:c r="B9" s="32" t="str">
        <x:v>AST-0006</x:v>
      </x:c>
      <x:c r="C9" s="32" t="str">
        <x:v>Limpieza física</x:v>
      </x:c>
      <x:c r="D9" s="32" t="str">
        <x:v>90 días</x:v>
      </x:c>
      <x:c r="E9" s="33" t="n">
        <x:v>46209</x:v>
      </x:c>
      <x:c r="F9" s="33" t="n">
        <x:f>E9+IF(C9="Limpieza física",90,IF(C9="Parches de sistema",30,IF(C9="Prueba de respaldo",14,IF(C9="Revisión cableado",180,30))))</x:f>
        <x:v>46299</x:v>
      </x:c>
      <x:c r="G9" s="32" t="str">
        <x:v>Soporte TI</x:v>
      </x:c>
      <x:c r="H9" s="32" t="str">
        <x:f>IF(F9&lt;DATE(2026,9,1),"VENCIDO","PROGRAMADO")</x:f>
        <x:v>PROGRAMADO</x:v>
      </x:c>
      <x:c r="I9" s="32" t="str">
        <x:v>Checklist 6</x:v>
      </x:c>
      <x:c r="J9" s="34" t="str">
        <x:v>Bajo</x:v>
      </x:c>
    </x:row>
    <x:row r="10">
      <x:c r="A10" s="31" t="str">
        <x:v>MNT-0007</x:v>
      </x:c>
      <x:c r="B10" s="32" t="str">
        <x:v>AST-0007</x:v>
      </x:c>
      <x:c r="C10" s="32" t="str">
        <x:v>Parches de sistema</x:v>
      </x:c>
      <x:c r="D10" s="32" t="str">
        <x:v>30 días</x:v>
      </x:c>
      <x:c r="E10" s="33" t="n">
        <x:v>46210</x:v>
      </x:c>
      <x:c r="F10" s="33" t="n">
        <x:f>E10+IF(C10="Limpieza física",90,IF(C10="Parches de sistema",30,IF(C10="Prueba de respaldo",14,IF(C10="Revisión cableado",180,30))))</x:f>
        <x:v>46240</x:v>
      </x:c>
      <x:c r="G10" s="32" t="str">
        <x:v>Soporte TI</x:v>
      </x:c>
      <x:c r="H10" s="32" t="str">
        <x:f>IF(F10&lt;DATE(2026,9,1),"VENCIDO","PROGRAMADO")</x:f>
        <x:v>VENCIDO</x:v>
      </x:c>
      <x:c r="I10" s="32" t="str">
        <x:v>Checklist 7</x:v>
      </x:c>
      <x:c r="J10" s="34" t="str">
        <x:v>Bajo</x:v>
      </x:c>
    </x:row>
    <x:row r="11">
      <x:c r="A11" s="31" t="str">
        <x:v>MNT-0008</x:v>
      </x:c>
      <x:c r="B11" s="32" t="str">
        <x:v>AST-0008</x:v>
      </x:c>
      <x:c r="C11" s="32" t="str">
        <x:v>Prueba de respaldo</x:v>
      </x:c>
      <x:c r="D11" s="32" t="str">
        <x:v>14 días</x:v>
      </x:c>
      <x:c r="E11" s="33" t="n">
        <x:v>46211</x:v>
      </x:c>
      <x:c r="F11" s="33" t="n">
        <x:f>E11+IF(C11="Limpieza física",90,IF(C11="Parches de sistema",30,IF(C11="Prueba de respaldo",14,IF(C11="Revisión cableado",180,30))))</x:f>
        <x:v>46225</x:v>
      </x:c>
      <x:c r="G11" s="32" t="str">
        <x:v>Soporte TI</x:v>
      </x:c>
      <x:c r="H11" s="32" t="str">
        <x:f>IF(F11&lt;DATE(2026,9,1),"VENCIDO","PROGRAMADO")</x:f>
        <x:v>VENCIDO</x:v>
      </x:c>
      <x:c r="I11" s="32" t="str">
        <x:v>Checklist 8</x:v>
      </x:c>
      <x:c r="J11" s="34" t="str">
        <x:v>Alto</x:v>
      </x:c>
    </x:row>
    <x:row r="12">
      <x:c r="A12" s="31" t="str">
        <x:v>MNT-0009</x:v>
      </x:c>
      <x:c r="B12" s="32" t="str">
        <x:v>AST-0009</x:v>
      </x:c>
      <x:c r="C12" s="32" t="str">
        <x:v>Revisión cableado</x:v>
      </x:c>
      <x:c r="D12" s="32" t="str">
        <x:v>180 días</x:v>
      </x:c>
      <x:c r="E12" s="33" t="n">
        <x:v>46212</x:v>
      </x:c>
      <x:c r="F12" s="33" t="n">
        <x:f>E12+IF(C12="Limpieza física",90,IF(C12="Parches de sistema",30,IF(C12="Prueba de respaldo",14,IF(C12="Revisión cableado",180,30))))</x:f>
        <x:v>46392</x:v>
      </x:c>
      <x:c r="G12" s="32" t="str">
        <x:v>Soporte TI</x:v>
      </x:c>
      <x:c r="H12" s="32" t="str">
        <x:f>IF(F12&lt;DATE(2026,9,1),"VENCIDO","PROGRAMADO")</x:f>
        <x:v>PROGRAMADO</x:v>
      </x:c>
      <x:c r="I12" s="32" t="str">
        <x:v>Checklist 9</x:v>
      </x:c>
      <x:c r="J12" s="34" t="str">
        <x:v>Bajo</x:v>
      </x:c>
    </x:row>
    <x:row r="13">
      <x:c r="A13" s="31" t="str">
        <x:v>MNT-0010</x:v>
      </x:c>
      <x:c r="B13" s="32" t="str">
        <x:v>AST-0010</x:v>
      </x:c>
      <x:c r="C13" s="32" t="str">
        <x:v>Verificación CCTV</x:v>
      </x:c>
      <x:c r="D13" s="32" t="str">
        <x:v>30 días</x:v>
      </x:c>
      <x:c r="E13" s="33" t="n">
        <x:v>46213</x:v>
      </x:c>
      <x:c r="F13" s="33" t="n">
        <x:f>E13+IF(C13="Limpieza física",90,IF(C13="Parches de sistema",30,IF(C13="Prueba de respaldo",14,IF(C13="Revisión cableado",180,30))))</x:f>
        <x:v>46243</x:v>
      </x:c>
      <x:c r="G13" s="32" t="str">
        <x:v>Soporte TI</x:v>
      </x:c>
      <x:c r="H13" s="32" t="str">
        <x:f>IF(F13&lt;DATE(2026,9,1),"VENCIDO","PROGRAMADO")</x:f>
        <x:v>VENCIDO</x:v>
      </x:c>
      <x:c r="I13" s="32" t="str">
        <x:v>Checklist 10</x:v>
      </x:c>
      <x:c r="J13" s="34" t="str">
        <x:v>Bajo</x:v>
      </x:c>
    </x:row>
    <x:row r="14">
      <x:c r="A14" s="31" t="str">
        <x:v>MNT-0011</x:v>
      </x:c>
      <x:c r="B14" s="32" t="str">
        <x:v>AST-0011</x:v>
      </x:c>
      <x:c r="C14" s="32" t="str">
        <x:v>Limpieza física</x:v>
      </x:c>
      <x:c r="D14" s="32" t="str">
        <x:v>90 días</x:v>
      </x:c>
      <x:c r="E14" s="33" t="n">
        <x:v>46214</x:v>
      </x:c>
      <x:c r="F14" s="33" t="n">
        <x:f>E14+IF(C14="Limpieza física",90,IF(C14="Parches de sistema",30,IF(C14="Prueba de respaldo",14,IF(C14="Revisión cableado",180,30))))</x:f>
        <x:v>46304</x:v>
      </x:c>
      <x:c r="G14" s="32" t="str">
        <x:v>Soporte TI</x:v>
      </x:c>
      <x:c r="H14" s="32" t="str">
        <x:f>IF(F14&lt;DATE(2026,9,1),"VENCIDO","PROGRAMADO")</x:f>
        <x:v>PROGRAMADO</x:v>
      </x:c>
      <x:c r="I14" s="32" t="str">
        <x:v>Checklist 11</x:v>
      </x:c>
      <x:c r="J14" s="34" t="str">
        <x:v>Bajo</x:v>
      </x:c>
    </x:row>
    <x:row r="15">
      <x:c r="A15" s="31" t="str">
        <x:v>MNT-0012</x:v>
      </x:c>
      <x:c r="B15" s="32" t="str">
        <x:v>AST-0012</x:v>
      </x:c>
      <x:c r="C15" s="32" t="str">
        <x:v>Parches de sistema</x:v>
      </x:c>
      <x:c r="D15" s="32" t="str">
        <x:v>30 días</x:v>
      </x:c>
      <x:c r="E15" s="33" t="n">
        <x:v>46215</x:v>
      </x:c>
      <x:c r="F15" s="33" t="n">
        <x:f>E15+IF(C15="Limpieza física",90,IF(C15="Parches de sistema",30,IF(C15="Prueba de respaldo",14,IF(C15="Revisión cableado",180,30))))</x:f>
        <x:v>46245</x:v>
      </x:c>
      <x:c r="G15" s="32" t="str">
        <x:v>Soporte TI</x:v>
      </x:c>
      <x:c r="H15" s="32" t="str">
        <x:f>IF(F15&lt;DATE(2026,9,1),"VENCIDO","PROGRAMADO")</x:f>
        <x:v>VENCIDO</x:v>
      </x:c>
      <x:c r="I15" s="32" t="str">
        <x:v>Checklist 12</x:v>
      </x:c>
      <x:c r="J15" s="34" t="str">
        <x:v>Bajo</x:v>
      </x:c>
    </x:row>
    <x:row r="16">
      <x:c r="A16" s="31" t="str">
        <x:v>MNT-0013</x:v>
      </x:c>
      <x:c r="B16" s="32" t="str">
        <x:v>AST-0013</x:v>
      </x:c>
      <x:c r="C16" s="32" t="str">
        <x:v>Prueba de respaldo</x:v>
      </x:c>
      <x:c r="D16" s="32" t="str">
        <x:v>14 días</x:v>
      </x:c>
      <x:c r="E16" s="33" t="n">
        <x:v>46216</x:v>
      </x:c>
      <x:c r="F16" s="33" t="n">
        <x:f>E16+IF(C16="Limpieza física",90,IF(C16="Parches de sistema",30,IF(C16="Prueba de respaldo",14,IF(C16="Revisión cableado",180,30))))</x:f>
        <x:v>46230</x:v>
      </x:c>
      <x:c r="G16" s="32" t="str">
        <x:v>Soporte TI</x:v>
      </x:c>
      <x:c r="H16" s="32" t="str">
        <x:f>IF(F16&lt;DATE(2026,9,1),"VENCIDO","PROGRAMADO")</x:f>
        <x:v>VENCIDO</x:v>
      </x:c>
      <x:c r="I16" s="32" t="str">
        <x:v>Checklist 13</x:v>
      </x:c>
      <x:c r="J16" s="34" t="str">
        <x:v>Bajo</x:v>
      </x:c>
    </x:row>
    <x:row r="17">
      <x:c r="A17" s="31" t="str">
        <x:v>MNT-0014</x:v>
      </x:c>
      <x:c r="B17" s="32" t="str">
        <x:v>AST-0014</x:v>
      </x:c>
      <x:c r="C17" s="32" t="str">
        <x:v>Revisión cableado</x:v>
      </x:c>
      <x:c r="D17" s="32" t="str">
        <x:v>180 días</x:v>
      </x:c>
      <x:c r="E17" s="33" t="n">
        <x:v>46217</x:v>
      </x:c>
      <x:c r="F17" s="33" t="n">
        <x:f>E17+IF(C17="Limpieza física",90,IF(C17="Parches de sistema",30,IF(C17="Prueba de respaldo",14,IF(C17="Revisión cableado",180,30))))</x:f>
        <x:v>46397</x:v>
      </x:c>
      <x:c r="G17" s="32" t="str">
        <x:v>Soporte TI</x:v>
      </x:c>
      <x:c r="H17" s="32" t="str">
        <x:f>IF(F17&lt;DATE(2026,9,1),"VENCIDO","PROGRAMADO")</x:f>
        <x:v>PROGRAMADO</x:v>
      </x:c>
      <x:c r="I17" s="32" t="str">
        <x:v>Checklist 14</x:v>
      </x:c>
      <x:c r="J17" s="34" t="str">
        <x:v>Bajo</x:v>
      </x:c>
    </x:row>
    <x:row r="18">
      <x:c r="A18" s="31" t="str">
        <x:v>MNT-0015</x:v>
      </x:c>
      <x:c r="B18" s="32" t="str">
        <x:v>AST-0015</x:v>
      </x:c>
      <x:c r="C18" s="32" t="str">
        <x:v>Verificación CCTV</x:v>
      </x:c>
      <x:c r="D18" s="32" t="str">
        <x:v>30 días</x:v>
      </x:c>
      <x:c r="E18" s="33" t="n">
        <x:v>46218</x:v>
      </x:c>
      <x:c r="F18" s="33" t="n">
        <x:f>E18+IF(C18="Limpieza física",90,IF(C18="Parches de sistema",30,IF(C18="Prueba de respaldo",14,IF(C18="Revisión cableado",180,30))))</x:f>
        <x:v>46248</x:v>
      </x:c>
      <x:c r="G18" s="32" t="str">
        <x:v>Soporte TI</x:v>
      </x:c>
      <x:c r="H18" s="32" t="str">
        <x:f>IF(F18&lt;DATE(2026,9,1),"VENCIDO","PROGRAMADO")</x:f>
        <x:v>VENCIDO</x:v>
      </x:c>
      <x:c r="I18" s="32" t="str">
        <x:v>Checklist 15</x:v>
      </x:c>
      <x:c r="J18" s="34" t="str">
        <x:v>Alto</x:v>
      </x:c>
    </x:row>
    <x:row r="19">
      <x:c r="A19" s="31" t="str">
        <x:v>MNT-0016</x:v>
      </x:c>
      <x:c r="B19" s="32" t="str">
        <x:v>AST-0016</x:v>
      </x:c>
      <x:c r="C19" s="32" t="str">
        <x:v>Limpieza física</x:v>
      </x:c>
      <x:c r="D19" s="32" t="str">
        <x:v>90 días</x:v>
      </x:c>
      <x:c r="E19" s="33" t="n">
        <x:v>46219</x:v>
      </x:c>
      <x:c r="F19" s="33" t="n">
        <x:f>E19+IF(C19="Limpieza física",90,IF(C19="Parches de sistema",30,IF(C19="Prueba de respaldo",14,IF(C19="Revisión cableado",180,30))))</x:f>
        <x:v>46309</x:v>
      </x:c>
      <x:c r="G19" s="32" t="str">
        <x:v>Soporte TI</x:v>
      </x:c>
      <x:c r="H19" s="32" t="str">
        <x:f>IF(F19&lt;DATE(2026,9,1),"VENCIDO","PROGRAMADO")</x:f>
        <x:v>PROGRAMADO</x:v>
      </x:c>
      <x:c r="I19" s="32" t="str">
        <x:v>Checklist 16</x:v>
      </x:c>
      <x:c r="J19" s="34" t="str">
        <x:v>Bajo</x:v>
      </x:c>
    </x:row>
    <x:row r="20">
      <x:c r="A20" s="31" t="str">
        <x:v>MNT-0017</x:v>
      </x:c>
      <x:c r="B20" s="32" t="str">
        <x:v>AST-0017</x:v>
      </x:c>
      <x:c r="C20" s="32" t="str">
        <x:v>Parches de sistema</x:v>
      </x:c>
      <x:c r="D20" s="32" t="str">
        <x:v>30 días</x:v>
      </x:c>
      <x:c r="E20" s="33" t="n">
        <x:v>46220</x:v>
      </x:c>
      <x:c r="F20" s="33" t="n">
        <x:f>E20+IF(C20="Limpieza física",90,IF(C20="Parches de sistema",30,IF(C20="Prueba de respaldo",14,IF(C20="Revisión cableado",180,30))))</x:f>
        <x:v>46250</x:v>
      </x:c>
      <x:c r="G20" s="32" t="str">
        <x:v>Soporte TI</x:v>
      </x:c>
      <x:c r="H20" s="32" t="str">
        <x:f>IF(F20&lt;DATE(2026,9,1),"VENCIDO","PROGRAMADO")</x:f>
        <x:v>VENCIDO</x:v>
      </x:c>
      <x:c r="I20" s="32" t="str">
        <x:v>Checklist 17</x:v>
      </x:c>
      <x:c r="J20" s="34" t="str">
        <x:v>Bajo</x:v>
      </x:c>
    </x:row>
    <x:row r="21">
      <x:c r="A21" s="31" t="str">
        <x:v>MNT-0018</x:v>
      </x:c>
      <x:c r="B21" s="32" t="str">
        <x:v>AST-0018</x:v>
      </x:c>
      <x:c r="C21" s="32" t="str">
        <x:v>Prueba de respaldo</x:v>
      </x:c>
      <x:c r="D21" s="32" t="str">
        <x:v>14 días</x:v>
      </x:c>
      <x:c r="E21" s="33" t="n">
        <x:v>46221</x:v>
      </x:c>
      <x:c r="F21" s="33" t="n">
        <x:f>E21+IF(C21="Limpieza física",90,IF(C21="Parches de sistema",30,IF(C21="Prueba de respaldo",14,IF(C21="Revisión cableado",180,30))))</x:f>
        <x:v>46235</x:v>
      </x:c>
      <x:c r="G21" s="32" t="str">
        <x:v>Soporte TI</x:v>
      </x:c>
      <x:c r="H21" s="32" t="str">
        <x:f>IF(F21&lt;DATE(2026,9,1),"VENCIDO","PROGRAMADO")</x:f>
        <x:v>VENCIDO</x:v>
      </x:c>
      <x:c r="I21" s="32" t="str">
        <x:v>Checklist 18</x:v>
      </x:c>
      <x:c r="J21" s="34" t="str">
        <x:v>Bajo</x:v>
      </x:c>
    </x:row>
    <x:row r="22">
      <x:c r="A22" s="31" t="str">
        <x:v>MNT-0019</x:v>
      </x:c>
      <x:c r="B22" s="32" t="str">
        <x:v>AST-0019</x:v>
      </x:c>
      <x:c r="C22" s="32" t="str">
        <x:v>Revisión cableado</x:v>
      </x:c>
      <x:c r="D22" s="32" t="str">
        <x:v>180 días</x:v>
      </x:c>
      <x:c r="E22" s="33" t="n">
        <x:v>46222</x:v>
      </x:c>
      <x:c r="F22" s="33" t="n">
        <x:f>E22+IF(C22="Limpieza física",90,IF(C22="Parches de sistema",30,IF(C22="Prueba de respaldo",14,IF(C22="Revisión cableado",180,30))))</x:f>
        <x:v>46402</x:v>
      </x:c>
      <x:c r="G22" s="32" t="str">
        <x:v>Soporte TI</x:v>
      </x:c>
      <x:c r="H22" s="32" t="str">
        <x:f>IF(F22&lt;DATE(2026,9,1),"VENCIDO","PROGRAMADO")</x:f>
        <x:v>PROGRAMADO</x:v>
      </x:c>
      <x:c r="I22" s="32" t="str">
        <x:v>Checklist 19</x:v>
      </x:c>
      <x:c r="J22" s="34" t="str">
        <x:v>Bajo</x:v>
      </x:c>
    </x:row>
    <x:row r="23">
      <x:c r="A23" s="31" t="str">
        <x:v>MNT-0020</x:v>
      </x:c>
      <x:c r="B23" s="32" t="str">
        <x:v>AST-0020</x:v>
      </x:c>
      <x:c r="C23" s="32" t="str">
        <x:v>Verificación CCTV</x:v>
      </x:c>
      <x:c r="D23" s="32" t="str">
        <x:v>30 días</x:v>
      </x:c>
      <x:c r="E23" s="33" t="n">
        <x:v>46223</x:v>
      </x:c>
      <x:c r="F23" s="33" t="n">
        <x:f>E23+IF(C23="Limpieza física",90,IF(C23="Parches de sistema",30,IF(C23="Prueba de respaldo",14,IF(C23="Revisión cableado",180,30))))</x:f>
        <x:v>46253</x:v>
      </x:c>
      <x:c r="G23" s="32" t="str">
        <x:v>Soporte TI</x:v>
      </x:c>
      <x:c r="H23" s="32" t="str">
        <x:f>IF(F23&lt;DATE(2026,9,1),"VENCIDO","PROGRAMADO")</x:f>
        <x:v>VENCIDO</x:v>
      </x:c>
      <x:c r="I23" s="32" t="str">
        <x:v>Checklist 20</x:v>
      </x:c>
      <x:c r="J23" s="34" t="str">
        <x:v>Bajo</x:v>
      </x:c>
    </x:row>
    <x:row r="24">
      <x:c r="A24" s="31" t="str">
        <x:v>MNT-0021</x:v>
      </x:c>
      <x:c r="B24" s="32" t="str">
        <x:v>AST-0021</x:v>
      </x:c>
      <x:c r="C24" s="32" t="str">
        <x:v>Limpieza física</x:v>
      </x:c>
      <x:c r="D24" s="32" t="str">
        <x:v>90 días</x:v>
      </x:c>
      <x:c r="E24" s="33" t="n">
        <x:v>46224</x:v>
      </x:c>
      <x:c r="F24" s="33" t="n">
        <x:f>E24+IF(C24="Limpieza física",90,IF(C24="Parches de sistema",30,IF(C24="Prueba de respaldo",14,IF(C24="Revisión cableado",180,30))))</x:f>
        <x:v>46314</x:v>
      </x:c>
      <x:c r="G24" s="32" t="str">
        <x:v>Soporte TI</x:v>
      </x:c>
      <x:c r="H24" s="32" t="str">
        <x:f>IF(F24&lt;DATE(2026,9,1),"VENCIDO","PROGRAMADO")</x:f>
        <x:v>PROGRAMADO</x:v>
      </x:c>
      <x:c r="I24" s="32" t="str">
        <x:v>Checklist 21</x:v>
      </x:c>
      <x:c r="J24" s="34" t="str">
        <x:v>Bajo</x:v>
      </x:c>
    </x:row>
    <x:row r="25">
      <x:c r="A25" s="31" t="str">
        <x:v>MNT-0022</x:v>
      </x:c>
      <x:c r="B25" s="32" t="str">
        <x:v>AST-0022</x:v>
      </x:c>
      <x:c r="C25" s="32" t="str">
        <x:v>Parches de sistema</x:v>
      </x:c>
      <x:c r="D25" s="32" t="str">
        <x:v>30 días</x:v>
      </x:c>
      <x:c r="E25" s="33" t="n">
        <x:v>46225</x:v>
      </x:c>
      <x:c r="F25" s="33" t="n">
        <x:f>E25+IF(C25="Limpieza física",90,IF(C25="Parches de sistema",30,IF(C25="Prueba de respaldo",14,IF(C25="Revisión cableado",180,30))))</x:f>
        <x:v>46255</x:v>
      </x:c>
      <x:c r="G25" s="32" t="str">
        <x:v>Soporte TI</x:v>
      </x:c>
      <x:c r="H25" s="32" t="str">
        <x:f>IF(F25&lt;DATE(2026,9,1),"VENCIDO","PROGRAMADO")</x:f>
        <x:v>VENCIDO</x:v>
      </x:c>
      <x:c r="I25" s="32" t="str">
        <x:v>Checklist 22</x:v>
      </x:c>
      <x:c r="J25" s="34" t="str">
        <x:v>Alto</x:v>
      </x:c>
    </x:row>
    <x:row r="26">
      <x:c r="A26" s="31" t="str">
        <x:v>MNT-0023</x:v>
      </x:c>
      <x:c r="B26" s="32" t="str">
        <x:v>AST-0023</x:v>
      </x:c>
      <x:c r="C26" s="32" t="str">
        <x:v>Prueba de respaldo</x:v>
      </x:c>
      <x:c r="D26" s="32" t="str">
        <x:v>14 días</x:v>
      </x:c>
      <x:c r="E26" s="33" t="n">
        <x:v>46226</x:v>
      </x:c>
      <x:c r="F26" s="33" t="n">
        <x:f>E26+IF(C26="Limpieza física",90,IF(C26="Parches de sistema",30,IF(C26="Prueba de respaldo",14,IF(C26="Revisión cableado",180,30))))</x:f>
        <x:v>46240</x:v>
      </x:c>
      <x:c r="G26" s="32" t="str">
        <x:v>Soporte TI</x:v>
      </x:c>
      <x:c r="H26" s="32" t="str">
        <x:f>IF(F26&lt;DATE(2026,9,1),"VENCIDO","PROGRAMADO")</x:f>
        <x:v>VENCIDO</x:v>
      </x:c>
      <x:c r="I26" s="32" t="str">
        <x:v>Checklist 23</x:v>
      </x:c>
      <x:c r="J26" s="34" t="str">
        <x:v>Bajo</x:v>
      </x:c>
    </x:row>
    <x:row r="27">
      <x:c r="A27" s="35" t="str">
        <x:v>MNT-0024</x:v>
      </x:c>
      <x:c r="B27" s="36" t="str">
        <x:v>AST-0024</x:v>
      </x:c>
      <x:c r="C27" s="36" t="str">
        <x:v>Revisión cableado</x:v>
      </x:c>
      <x:c r="D27" s="36" t="str">
        <x:v>180 días</x:v>
      </x:c>
      <x:c r="E27" s="37" t="n">
        <x:v>46227</x:v>
      </x:c>
      <x:c r="F27" s="37" t="n">
        <x:f>E27+IF(C27="Limpieza física",90,IF(C27="Parches de sistema",30,IF(C27="Prueba de respaldo",14,IF(C27="Revisión cableado",180,30))))</x:f>
        <x:v>46407</x:v>
      </x:c>
      <x:c r="G27" s="36" t="str">
        <x:v>Soporte TI</x:v>
      </x:c>
      <x:c r="H27" s="36" t="str">
        <x:f>IF(F27&lt;DATE(2026,9,1),"VENCIDO","PROGRAMADO")</x:f>
        <x:v>PROGRAMADO</x:v>
      </x:c>
      <x:c r="I27" s="36" t="str">
        <x:v>Checklist 24</x:v>
      </x:c>
      <x:c r="J27" s="38" t="str">
        <x:v>Bajo</x:v>
      </x:c>
    </x:row>
  </x:sheetData>
  <x:mergeCells>
    <x:mergeCell ref="A1:J1"/>
  </x:mergeCells>
  <x:conditionalFormatting sqref="H4:H100">
    <x:cfRule type="containsText" dxfId="4" priority="1" operator="containsText" text="VENCIDO"/>
  </x:conditionalFormatting>
  <x:pageMargins left="0.7" right="0.7" top="0.75" bottom="0.75" header="0.3" footer="0.3"/>
  <x:tableParts count="1">
    <x:tablePart xmlns:r="http://schemas.openxmlformats.org/officeDocument/2006/relationships" r:id="R421d46fcce5d467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4" customHeight="1">
      <x:c r="A1" s="3" t="str">
        <x:v>CATÁLOGOS Y REGLAS DEL SISTEMA</x:v>
      </x:c>
      <x:c r="B1" s="3"/>
      <x:c r="C1" s="3"/>
      <x:c r="D1" s="3"/>
      <x:c r="E1" s="3"/>
      <x:c r="F1" s="3"/>
      <x:c r="G1" s="3"/>
      <x:c r="H1" s="3"/>
    </x:row>
    <x:row r="3" ht="32" customHeight="1">
      <x:c r="A3" s="7" t="str">
        <x:v>Prioridad</x:v>
      </x:c>
      <x:c r="B3" s="7" t="str">
        <x:v>SLA horas</x:v>
      </x:c>
      <x:c r="D3" s="7" t="str">
        <x:v>Estado ticket</x:v>
      </x:c>
      <x:c r="F3" s="7" t="str">
        <x:v>Tipo activo</x:v>
      </x:c>
      <x:c r="H3" s="7" t="str">
        <x:v>Estado activo</x:v>
      </x:c>
    </x:row>
    <x:row r="4">
      <x:c r="A4" t="str">
        <x:v>Crítica</x:v>
      </x:c>
      <x:c r="B4" t="n">
        <x:v>2</x:v>
      </x:c>
      <x:c r="D4" t="str">
        <x:v>Abierto</x:v>
      </x:c>
      <x:c r="F4" t="str">
        <x:v>Laptop</x:v>
      </x:c>
      <x:c r="H4" t="str">
        <x:v>Operativo</x:v>
      </x:c>
    </x:row>
    <x:row r="5">
      <x:c r="A5" t="str">
        <x:v>Alta</x:v>
      </x:c>
      <x:c r="B5" t="n">
        <x:v>4</x:v>
      </x:c>
      <x:c r="D5" t="str">
        <x:v>En progreso</x:v>
      </x:c>
      <x:c r="F5" t="str">
        <x:v>Desktop</x:v>
      </x:c>
      <x:c r="H5" t="str">
        <x:v>Mantenimiento</x:v>
      </x:c>
    </x:row>
    <x:row r="6">
      <x:c r="A6" t="str">
        <x:v>Media</x:v>
      </x:c>
      <x:c r="B6" t="n">
        <x:v>8</x:v>
      </x:c>
      <x:c r="D6" t="str">
        <x:v>Resuelto</x:v>
      </x:c>
      <x:c r="F6" t="str">
        <x:v>Switch</x:v>
      </x:c>
      <x:c r="H6" t="str">
        <x:v>Reserva</x:v>
      </x:c>
    </x:row>
    <x:row r="7">
      <x:c r="A7" t="str">
        <x:v>Baja</x:v>
      </x:c>
      <x:c r="B7" t="n">
        <x:v>24</x:v>
      </x:c>
      <x:c r="D7" t="str">
        <x:v>Cerrado</x:v>
      </x:c>
      <x:c r="F7" t="str">
        <x:v>Cámara CCTV</x:v>
      </x:c>
      <x:c r="H7" t="str">
        <x:v>Baja</x:v>
      </x:c>
    </x:row>
    <x:row r="8">
      <x:c r="A8" t="str">
        <x:v>Solicitud</x:v>
      </x:c>
      <x:c r="B8" t="n">
        <x:v>48</x:v>
      </x:c>
    </x:row>
    <x:row r="10" ht="32" customHeight="1">
      <x:c r="A10" s="8" t="str">
        <x:v>Regla</x:v>
      </x:c>
      <x:c r="B10" s="9" t="str">
        <x:v>Origen</x:v>
      </x:c>
      <x:c r="C10" s="9" t="str">
        <x:v>Criterio</x:v>
      </x:c>
      <x:c r="D10" s="9" t="str">
        <x:v>Resultado</x:v>
      </x:c>
      <x:c r="E10" s="9" t="str">
        <x:v>Control</x:v>
      </x:c>
      <x:c r="F10" s="9" t="str">
        <x:v>Objetivo</x:v>
      </x:c>
      <x:c r="G10" s="9" t="str">
        <x:v>Herramienta</x:v>
      </x:c>
      <x:c r="H10" s="10" t="str">
        <x:v>Transparencia</x:v>
      </x:c>
    </x:row>
    <x:row r="11">
      <x:c r="A11" s="11" t="str">
        <x:v>SLA</x:v>
      </x:c>
      <x:c r="B11" s="12" t="str">
        <x:v>Tickets</x:v>
      </x:c>
      <x:c r="C11" s="12" t="str">
        <x:v>Horas &lt;= catálogo</x:v>
      </x:c>
      <x:c r="D11" s="12" t="str">
        <x:v>Cumple/Incumple</x:v>
      </x:c>
      <x:c r="E11" s="12" t="str">
        <x:v>IF + búsqueda</x:v>
      </x:c>
      <x:c r="F11" s="12" t="str">
        <x:v>≥90%</x:v>
      </x:c>
      <x:c r="G11" s="12" t="str">
        <x:v>Excel</x:v>
      </x:c>
      <x:c r="H11" s="13" t="str">
        <x:v>Fórmula visible</x:v>
      </x:c>
    </x:row>
    <x:row r="12">
      <x:c r="A12" s="11" t="str">
        <x:v>Asignación</x:v>
      </x:c>
      <x:c r="B12" s="12" t="str">
        <x:v>Activos</x:v>
      </x:c>
      <x:c r="C12" s="12" t="str">
        <x:v>Usuario o almacén</x:v>
      </x:c>
      <x:c r="D12" s="12" t="str">
        <x:v>Asignado/Disponible</x:v>
      </x:c>
      <x:c r="E12" s="12" t="str">
        <x:v>IF</x:v>
      </x:c>
      <x:c r="F12" s="12" t="str">
        <x:v>100% trazable</x:v>
      </x:c>
      <x:c r="G12" s="12" t="str">
        <x:v>Tabla</x:v>
      </x:c>
      <x:c r="H12" s="13" t="str">
        <x:v>Datos ficticios</x:v>
      </x:c>
    </x:row>
    <x:row r="13">
      <x:c r="A13" s="11" t="str">
        <x:v>Garantía</x:v>
      </x:c>
      <x:c r="B13" s="12" t="str">
        <x:v>Activos</x:v>
      </x:c>
      <x:c r="C13" s="12" t="str">
        <x:v>Fecha fin &gt;= hoy simulado</x:v>
      </x:c>
      <x:c r="D13" s="12" t="str">
        <x:v>Vigente/Vencida</x:v>
      </x:c>
      <x:c r="E13" s="12" t="str">
        <x:v>IF</x:v>
      </x:c>
      <x:c r="F13" s="12" t="str">
        <x:v>Control preventivo</x:v>
      </x:c>
      <x:c r="G13" s="12" t="str">
        <x:v>Fechas</x:v>
      </x:c>
      <x:c r="H13" s="13" t="str">
        <x:v>Sin macros</x:v>
      </x:c>
    </x:row>
    <x:row r="14">
      <x:c r="A14" s="11" t="str">
        <x:v>Mantenimiento</x:v>
      </x:c>
      <x:c r="B14" s="12" t="str">
        <x:v>Plan</x:v>
      </x:c>
      <x:c r="C14" s="12" t="str">
        <x:v>Fecha &lt;= límite</x:v>
      </x:c>
      <x:c r="D14" s="12" t="str">
        <x:v>A tiempo/Vencido</x:v>
      </x:c>
      <x:c r="E14" s="12" t="str">
        <x:v>IF</x:v>
      </x:c>
      <x:c r="F14" s="12" t="str">
        <x:v>≥95%</x:v>
      </x:c>
      <x:c r="G14" s="12" t="str">
        <x:v>Semáforo</x:v>
      </x:c>
      <x:c r="H14" s="13" t="str">
        <x:v>Editable</x:v>
      </x:c>
    </x:row>
    <x:row r="15">
      <x:c r="A15" s="14" t="str">
        <x:v>Inventario</x:v>
      </x:c>
      <x:c r="B15" s="15" t="str">
        <x:v>Activos</x:v>
      </x:c>
      <x:c r="C15" s="15" t="str">
        <x:v>ID único</x:v>
      </x:c>
      <x:c r="D15" s="15" t="str">
        <x:v>Revisar duplicado</x:v>
      </x:c>
      <x:c r="E15" s="15" t="str">
        <x:v>COUNTIF</x:v>
      </x:c>
      <x:c r="F15" s="15" t="str">
        <x:v>0 duplicados</x:v>
      </x:c>
      <x:c r="G15" s="15" t="str">
        <x:v>Validación</x:v>
      </x:c>
      <x:c r="H15" s="16" t="str">
        <x:v>Auditable</x:v>
      </x:c>
    </x:row>
  </x:sheetData>
  <x:mergeCells>
    <x:mergeCell ref="A1:H1"/>
  </x:mergeCells>
  <x:pageMargins left="0.7" right="0.7" top="0.75" bottom="0.75" header="0.3" footer="0.3"/>
</x:worksheet>
</file>